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y\Sem III\Statistics\Practical\"/>
    </mc:Choice>
  </mc:AlternateContent>
  <xr:revisionPtr revIDLastSave="0" documentId="8_{58132778-FDAE-4688-B05E-2012900E7041}" xr6:coauthVersionLast="47" xr6:coauthVersionMax="47" xr10:uidLastSave="{00000000-0000-0000-0000-000000000000}"/>
  <bookViews>
    <workbookView xWindow="-120" yWindow="-120" windowWidth="20730" windowHeight="11040" activeTab="1" xr2:uid="{86FFA945-355F-43CE-95CD-D97E0EE55E80}"/>
  </bookViews>
  <sheets>
    <sheet name="Binomial fitting" sheetId="1" r:id="rId1"/>
    <sheet name="Poisson fitt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D11" i="2"/>
  <c r="C13" i="2"/>
  <c r="F10" i="2"/>
  <c r="G10" i="2"/>
  <c r="F9" i="2"/>
  <c r="F4" i="2"/>
  <c r="F5" i="2"/>
  <c r="F6" i="2"/>
  <c r="F7" i="2"/>
  <c r="F8" i="2"/>
  <c r="F11" i="2"/>
  <c r="G4" i="2"/>
  <c r="G5" i="2"/>
  <c r="G6" i="2"/>
  <c r="G7" i="2"/>
  <c r="G8" i="2"/>
  <c r="G9" i="2"/>
  <c r="G11" i="2"/>
  <c r="C14" i="2"/>
  <c r="F47" i="1"/>
  <c r="D57" i="1"/>
  <c r="D56" i="1"/>
  <c r="D52" i="1"/>
  <c r="D54" i="1"/>
  <c r="E51" i="1"/>
  <c r="E50" i="1"/>
  <c r="E49" i="1"/>
  <c r="E48" i="1"/>
  <c r="E47" i="1"/>
  <c r="D43" i="1"/>
  <c r="F35" i="1"/>
  <c r="G35" i="1"/>
  <c r="D42" i="1"/>
  <c r="D38" i="1"/>
  <c r="D40" i="1"/>
  <c r="E37" i="1"/>
  <c r="E36" i="1"/>
  <c r="E35" i="1"/>
  <c r="E34" i="1"/>
  <c r="E33" i="1"/>
  <c r="E21" i="1"/>
  <c r="D24" i="1"/>
  <c r="D26" i="1"/>
  <c r="E23" i="1"/>
  <c r="E22" i="1"/>
  <c r="E20" i="1"/>
  <c r="E6" i="1"/>
  <c r="E7" i="1"/>
  <c r="E8" i="1"/>
  <c r="E9" i="1"/>
  <c r="E10" i="1"/>
  <c r="E5" i="1"/>
  <c r="E11" i="1"/>
  <c r="D11" i="1"/>
  <c r="D13" i="1"/>
  <c r="G47" i="1"/>
  <c r="F33" i="1"/>
  <c r="G33" i="1"/>
  <c r="F37" i="1"/>
  <c r="G37" i="1"/>
  <c r="F36" i="1"/>
  <c r="G36" i="1"/>
  <c r="F34" i="1"/>
  <c r="G34" i="1"/>
  <c r="F51" i="1"/>
  <c r="G51" i="1"/>
  <c r="F50" i="1"/>
  <c r="G50" i="1"/>
  <c r="F49" i="1"/>
  <c r="G49" i="1"/>
  <c r="F48" i="1"/>
  <c r="G48" i="1"/>
  <c r="E52" i="1"/>
  <c r="G52" i="1"/>
  <c r="E38" i="1"/>
  <c r="E24" i="1"/>
  <c r="D15" i="1"/>
  <c r="D16" i="1"/>
  <c r="F8" i="1"/>
  <c r="G8" i="1"/>
  <c r="F7" i="1"/>
  <c r="G7" i="1"/>
  <c r="F52" i="1"/>
  <c r="F6" i="1"/>
  <c r="G6" i="1"/>
  <c r="D28" i="1"/>
  <c r="D29" i="1"/>
  <c r="F21" i="1"/>
  <c r="G21" i="1"/>
  <c r="F10" i="1"/>
  <c r="G10" i="1"/>
  <c r="F9" i="1"/>
  <c r="G9" i="1"/>
  <c r="F5" i="1"/>
  <c r="F11" i="1"/>
  <c r="G5" i="1"/>
  <c r="F23" i="1"/>
  <c r="G23" i="1"/>
  <c r="F22" i="1"/>
  <c r="G22" i="1"/>
  <c r="F38" i="1"/>
  <c r="G38" i="1"/>
  <c r="G11" i="1"/>
  <c r="F20" i="1"/>
  <c r="G20" i="1"/>
  <c r="G24" i="1"/>
  <c r="F24" i="1"/>
</calcChain>
</file>

<file path=xl/sharedStrings.xml><?xml version="1.0" encoding="utf-8"?>
<sst xmlns="http://schemas.openxmlformats.org/spreadsheetml/2006/main" count="48" uniqueCount="13">
  <si>
    <t>Q1</t>
  </si>
  <si>
    <t>xi</t>
  </si>
  <si>
    <t>fi</t>
  </si>
  <si>
    <t>fixi</t>
  </si>
  <si>
    <t>mean</t>
  </si>
  <si>
    <t>n</t>
  </si>
  <si>
    <t>N</t>
  </si>
  <si>
    <t>p(estimate)</t>
  </si>
  <si>
    <t>Proability</t>
  </si>
  <si>
    <t>E.F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</si>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</sst>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DBEAA-47F2-42C4-B3CE-7314866275EF}">
  <dimension ref="A3:G57"/>
  <sheetViews>
    <sheetView topLeftCell="A41" zoomScale="120" zoomScaleNormal="120" workbookViewId="0">
      <selection activeCell="F47" sqref="F47"/>
    </sheetView>
  </sheetViews>
  <sheetFormatPr defaultColWidth="9.140625" defaultRowHeight="15" x14ac:dyDescent="0.25"/>
  <cols>
    <col min="1" max="2" width="9.140625" style="1"/>
    <col min="3" max="3" width="11.140625" style="1" customWidth="1"/>
    <col min="4" max="16384" width="9.140625" style="1"/>
  </cols>
  <sheetData>
    <row r="3" spans="1:7" x14ac:dyDescent="0.25">
      <c r="A3" s="1" t="s">
        <v>0</v>
      </c>
    </row>
    <row r="4" spans="1:7" x14ac:dyDescent="0.25">
      <c r="C4" s="2" t="s">
        <v>1</v>
      </c>
      <c r="D4" s="2" t="s">
        <v>2</v>
      </c>
      <c r="E4" s="2" t="s">
        <v>3</v>
      </c>
      <c r="F4" s="2" t="s">
        <v>8</v>
      </c>
      <c r="G4" s="2" t="s">
        <v>9</v>
      </c>
    </row>
    <row r="5" spans="1:7" x14ac:dyDescent="0.25">
      <c r="C5" s="2">
        <v>0</v>
      </c>
      <c r="D5" s="2">
        <v>10</v>
      </c>
      <c r="E5" s="2">
        <f>D5*C5</f>
        <v>0</v>
      </c>
      <c r="F5" s="2">
        <f>_xlfn.BINOM.DIST(C5,$D$14,$D$16,FALSE)</f>
        <v>4.1819549300000008E-2</v>
      </c>
      <c r="G5" s="2">
        <f>F5*$D$11</f>
        <v>4.1819549300000007</v>
      </c>
    </row>
    <row r="6" spans="1:7" x14ac:dyDescent="0.25">
      <c r="C6" s="2">
        <v>1</v>
      </c>
      <c r="D6" s="2">
        <v>20</v>
      </c>
      <c r="E6" s="2">
        <f t="shared" ref="E6:E10" si="0">D6*C6</f>
        <v>20</v>
      </c>
      <c r="F6" s="2">
        <f>_xlfn.BINOM.DIST(C6,$D$14,$D$16,FALSE)</f>
        <v>0.1854263035</v>
      </c>
      <c r="G6" s="2">
        <f t="shared" ref="G6:G10" si="1">F6*$D$11</f>
        <v>18.54263035</v>
      </c>
    </row>
    <row r="7" spans="1:7" x14ac:dyDescent="0.25">
      <c r="C7" s="2">
        <v>2</v>
      </c>
      <c r="D7" s="2">
        <v>30</v>
      </c>
      <c r="E7" s="2">
        <f t="shared" si="0"/>
        <v>60</v>
      </c>
      <c r="F7" s="2">
        <f t="shared" ref="F7:F10" si="2">_xlfn.BINOM.DIST(C7,$D$14,$D$16,FALSE)</f>
        <v>0.32886929299999995</v>
      </c>
      <c r="G7" s="2">
        <f t="shared" si="1"/>
        <v>32.886929299999998</v>
      </c>
    </row>
    <row r="8" spans="1:7" x14ac:dyDescent="0.25">
      <c r="C8" s="2">
        <v>3</v>
      </c>
      <c r="D8" s="2">
        <v>15</v>
      </c>
      <c r="E8" s="2">
        <f t="shared" si="0"/>
        <v>45</v>
      </c>
      <c r="F8" s="2">
        <f t="shared" si="2"/>
        <v>0.29163880699999994</v>
      </c>
      <c r="G8" s="2">
        <f t="shared" si="1"/>
        <v>29.163880699999993</v>
      </c>
    </row>
    <row r="9" spans="1:7" x14ac:dyDescent="0.25">
      <c r="C9" s="2">
        <v>4</v>
      </c>
      <c r="D9" s="2">
        <v>15</v>
      </c>
      <c r="E9" s="2">
        <f t="shared" si="0"/>
        <v>60</v>
      </c>
      <c r="F9" s="2">
        <f t="shared" si="2"/>
        <v>0.12931154649999993</v>
      </c>
      <c r="G9" s="2">
        <f t="shared" si="1"/>
        <v>12.931154649999993</v>
      </c>
    </row>
    <row r="10" spans="1:7" x14ac:dyDescent="0.25">
      <c r="C10" s="2">
        <v>5</v>
      </c>
      <c r="D10" s="2">
        <v>10</v>
      </c>
      <c r="E10" s="2">
        <f t="shared" si="0"/>
        <v>50</v>
      </c>
      <c r="F10" s="2">
        <f t="shared" si="2"/>
        <v>2.2934500700000013E-2</v>
      </c>
      <c r="G10" s="2">
        <f t="shared" si="1"/>
        <v>2.2934500700000013</v>
      </c>
    </row>
    <row r="11" spans="1:7" x14ac:dyDescent="0.25">
      <c r="C11" s="2"/>
      <c r="D11" s="3">
        <f>SUM(D5:D10)</f>
        <v>100</v>
      </c>
      <c r="E11" s="2">
        <f>SUM(E5:E10)</f>
        <v>235</v>
      </c>
      <c r="F11" s="2">
        <f>SUM(F5:F10)</f>
        <v>0.99999999999999989</v>
      </c>
      <c r="G11" s="3">
        <f>SUM(G5:G10)</f>
        <v>100</v>
      </c>
    </row>
    <row r="13" spans="1:7" x14ac:dyDescent="0.25">
      <c r="C13" s="2" t="s">
        <v>6</v>
      </c>
      <c r="D13" s="2">
        <f>D11</f>
        <v>100</v>
      </c>
    </row>
    <row r="14" spans="1:7" x14ac:dyDescent="0.25">
      <c r="C14" s="2" t="s">
        <v>5</v>
      </c>
      <c r="D14" s="2">
        <v>5</v>
      </c>
    </row>
    <row r="15" spans="1:7" x14ac:dyDescent="0.25">
      <c r="C15" s="2" t="s">
        <v>4</v>
      </c>
      <c r="D15" s="2">
        <f>E11/D11</f>
        <v>2.35</v>
      </c>
    </row>
    <row r="16" spans="1:7" x14ac:dyDescent="0.25">
      <c r="C16" s="2" t="s">
        <v>7</v>
      </c>
      <c r="D16" s="2">
        <f>D15/D14</f>
        <v>0.47000000000000003</v>
      </c>
    </row>
    <row r="18" spans="1:7" x14ac:dyDescent="0.25">
      <c r="A18" s="1" t="s">
        <v>10</v>
      </c>
    </row>
    <row r="19" spans="1:7" x14ac:dyDescent="0.25">
      <c r="C19" s="2" t="s">
        <v>1</v>
      </c>
      <c r="D19" s="2" t="s">
        <v>2</v>
      </c>
      <c r="E19" s="2" t="s">
        <v>3</v>
      </c>
      <c r="F19" s="2" t="s">
        <v>8</v>
      </c>
      <c r="G19" s="2" t="s">
        <v>9</v>
      </c>
    </row>
    <row r="20" spans="1:7" x14ac:dyDescent="0.25">
      <c r="C20" s="2">
        <v>0</v>
      </c>
      <c r="D20" s="2">
        <v>36</v>
      </c>
      <c r="E20" s="2">
        <f>D20*C20</f>
        <v>0</v>
      </c>
      <c r="F20" s="2">
        <f>_xlfn.BINOM.DIST(C20,$D$27,$D$29,FALSE)</f>
        <v>0.34300000000000003</v>
      </c>
      <c r="G20" s="2">
        <f>F20*$D$26</f>
        <v>34.300000000000004</v>
      </c>
    </row>
    <row r="21" spans="1:7" x14ac:dyDescent="0.25">
      <c r="C21" s="2">
        <v>1</v>
      </c>
      <c r="D21" s="2">
        <v>40</v>
      </c>
      <c r="E21" s="2">
        <f>D21*C21</f>
        <v>40</v>
      </c>
      <c r="F21" s="2">
        <f t="shared" ref="F21:F23" si="3">_xlfn.BINOM.DIST(C21,$D$27,$D$29,FALSE)</f>
        <v>0.441</v>
      </c>
      <c r="G21" s="2">
        <f t="shared" ref="G21:G23" si="4">F21*$D$26</f>
        <v>44.1</v>
      </c>
    </row>
    <row r="22" spans="1:7" x14ac:dyDescent="0.25">
      <c r="C22" s="2">
        <v>2</v>
      </c>
      <c r="D22" s="2">
        <v>22</v>
      </c>
      <c r="E22" s="2">
        <f t="shared" ref="E22:E23" si="5">D22*C22</f>
        <v>44</v>
      </c>
      <c r="F22" s="2">
        <f t="shared" si="3"/>
        <v>0.18900000000000008</v>
      </c>
      <c r="G22" s="2">
        <f t="shared" si="4"/>
        <v>18.900000000000009</v>
      </c>
    </row>
    <row r="23" spans="1:7" x14ac:dyDescent="0.25">
      <c r="C23" s="2">
        <v>3</v>
      </c>
      <c r="D23" s="2">
        <v>2</v>
      </c>
      <c r="E23" s="2">
        <f t="shared" si="5"/>
        <v>6</v>
      </c>
      <c r="F23" s="2">
        <f t="shared" si="3"/>
        <v>2.6999999999999982E-2</v>
      </c>
      <c r="G23" s="2">
        <f t="shared" si="4"/>
        <v>2.6999999999999984</v>
      </c>
    </row>
    <row r="24" spans="1:7" x14ac:dyDescent="0.25">
      <c r="C24" s="2"/>
      <c r="D24" s="3">
        <f>SUM(D20:D23)</f>
        <v>100</v>
      </c>
      <c r="E24" s="2">
        <f>SUM(E20:E23)</f>
        <v>90</v>
      </c>
      <c r="F24" s="2">
        <f>SUM(F20:F23)</f>
        <v>1</v>
      </c>
      <c r="G24" s="3">
        <f>SUM(G20:G23)</f>
        <v>100.00000000000001</v>
      </c>
    </row>
    <row r="26" spans="1:7" x14ac:dyDescent="0.25">
      <c r="C26" s="2" t="s">
        <v>6</v>
      </c>
      <c r="D26" s="2">
        <f>D24</f>
        <v>100</v>
      </c>
    </row>
    <row r="27" spans="1:7" x14ac:dyDescent="0.25">
      <c r="C27" s="2" t="s">
        <v>5</v>
      </c>
      <c r="D27" s="2">
        <v>3</v>
      </c>
    </row>
    <row r="28" spans="1:7" x14ac:dyDescent="0.25">
      <c r="C28" s="2" t="s">
        <v>4</v>
      </c>
      <c r="D28" s="2">
        <f>E24/D24</f>
        <v>0.9</v>
      </c>
    </row>
    <row r="29" spans="1:7" x14ac:dyDescent="0.25">
      <c r="C29" s="2" t="s">
        <v>7</v>
      </c>
      <c r="D29" s="2">
        <f>D28/D27</f>
        <v>0.3</v>
      </c>
    </row>
    <row r="31" spans="1:7" x14ac:dyDescent="0.25">
      <c r="A31" s="1" t="s">
        <v>11</v>
      </c>
    </row>
    <row r="32" spans="1:7" x14ac:dyDescent="0.25">
      <c r="C32" s="2" t="s">
        <v>1</v>
      </c>
      <c r="D32" s="2" t="s">
        <v>2</v>
      </c>
      <c r="E32" s="2" t="s">
        <v>3</v>
      </c>
      <c r="F32" s="2" t="s">
        <v>8</v>
      </c>
      <c r="G32" s="2" t="s">
        <v>9</v>
      </c>
    </row>
    <row r="33" spans="1:7" x14ac:dyDescent="0.25">
      <c r="C33" s="2">
        <v>0</v>
      </c>
      <c r="D33" s="2">
        <v>9</v>
      </c>
      <c r="E33" s="2">
        <f>D33*C33</f>
        <v>0</v>
      </c>
      <c r="F33" s="2">
        <f>_xlfn.BINOM.DIST(C33,$D$41,$D$43,FALSE)</f>
        <v>0.17307680062500003</v>
      </c>
      <c r="G33" s="2">
        <f>F33*$D$40</f>
        <v>8.6538400312500006</v>
      </c>
    </row>
    <row r="34" spans="1:7" x14ac:dyDescent="0.25">
      <c r="C34" s="2">
        <v>1</v>
      </c>
      <c r="D34" s="2">
        <v>21</v>
      </c>
      <c r="E34" s="2">
        <f t="shared" ref="E34:E37" si="6">D34*C34</f>
        <v>21</v>
      </c>
      <c r="F34" s="2">
        <f t="shared" ref="F34:F37" si="7">_xlfn.BINOM.DIST(C34,$D$41,$D$43,FALSE)</f>
        <v>0.38103729749999998</v>
      </c>
      <c r="G34" s="2">
        <f t="shared" ref="G34:G37" si="8">F34*$D$40</f>
        <v>19.051864875</v>
      </c>
    </row>
    <row r="35" spans="1:7" x14ac:dyDescent="0.25">
      <c r="C35" s="2">
        <v>2</v>
      </c>
      <c r="D35" s="2">
        <v>12</v>
      </c>
      <c r="E35" s="2">
        <f t="shared" si="6"/>
        <v>24</v>
      </c>
      <c r="F35" s="2">
        <f t="shared" si="7"/>
        <v>0.31457730375000004</v>
      </c>
      <c r="G35" s="2">
        <f t="shared" si="8"/>
        <v>15.728865187500002</v>
      </c>
    </row>
    <row r="36" spans="1:7" x14ac:dyDescent="0.25">
      <c r="C36" s="2">
        <v>3</v>
      </c>
      <c r="D36" s="2">
        <v>6</v>
      </c>
      <c r="E36" s="2">
        <f t="shared" si="6"/>
        <v>18</v>
      </c>
      <c r="F36" s="2">
        <f t="shared" si="7"/>
        <v>0.11542629749999991</v>
      </c>
      <c r="G36" s="2">
        <f t="shared" si="8"/>
        <v>5.7713148749999954</v>
      </c>
    </row>
    <row r="37" spans="1:7" x14ac:dyDescent="0.25">
      <c r="C37" s="2">
        <v>4</v>
      </c>
      <c r="D37" s="2">
        <v>2</v>
      </c>
      <c r="E37" s="2">
        <f t="shared" si="6"/>
        <v>8</v>
      </c>
      <c r="F37" s="2">
        <f t="shared" si="7"/>
        <v>1.5882300624999998E-2</v>
      </c>
      <c r="G37" s="2">
        <f t="shared" si="8"/>
        <v>0.79411503124999994</v>
      </c>
    </row>
    <row r="38" spans="1:7" x14ac:dyDescent="0.25">
      <c r="C38" s="2"/>
      <c r="D38" s="3">
        <f>SUM(D33:D37)</f>
        <v>50</v>
      </c>
      <c r="E38" s="2">
        <f>SUM(E33:E37)</f>
        <v>71</v>
      </c>
      <c r="F38" s="2">
        <f>SUM(F33:F37)</f>
        <v>0.99999999999999989</v>
      </c>
      <c r="G38" s="3">
        <f>SUM(G33:G37)</f>
        <v>49.999999999999993</v>
      </c>
    </row>
    <row r="40" spans="1:7" x14ac:dyDescent="0.25">
      <c r="C40" s="2" t="s">
        <v>6</v>
      </c>
      <c r="D40" s="2">
        <f>D38</f>
        <v>50</v>
      </c>
    </row>
    <row r="41" spans="1:7" x14ac:dyDescent="0.25">
      <c r="C41" s="2" t="s">
        <v>5</v>
      </c>
      <c r="D41" s="2">
        <v>4</v>
      </c>
    </row>
    <row r="42" spans="1:7" x14ac:dyDescent="0.25">
      <c r="C42" s="2" t="s">
        <v>4</v>
      </c>
      <c r="D42" s="2">
        <f>E38/D38</f>
        <v>1.42</v>
      </c>
    </row>
    <row r="43" spans="1:7" x14ac:dyDescent="0.25">
      <c r="C43" s="2" t="s">
        <v>7</v>
      </c>
      <c r="D43" s="2">
        <f>D42/D41</f>
        <v>0.35499999999999998</v>
      </c>
    </row>
    <row r="45" spans="1:7" x14ac:dyDescent="0.25">
      <c r="A45" s="1" t="s">
        <v>12</v>
      </c>
    </row>
    <row r="46" spans="1:7" x14ac:dyDescent="0.25">
      <c r="C46" s="2" t="s">
        <v>1</v>
      </c>
      <c r="D46" s="2" t="s">
        <v>2</v>
      </c>
      <c r="E46" s="2" t="s">
        <v>3</v>
      </c>
      <c r="F46" s="2" t="s">
        <v>8</v>
      </c>
      <c r="G46" s="2" t="s">
        <v>9</v>
      </c>
    </row>
    <row r="47" spans="1:7" x14ac:dyDescent="0.25">
      <c r="C47" s="2">
        <v>0</v>
      </c>
      <c r="D47" s="2">
        <v>5</v>
      </c>
      <c r="E47" s="2">
        <f>D47*C47</f>
        <v>0</v>
      </c>
      <c r="F47" s="2">
        <f>_xlfn.BINOM.DIST(C47,$D$55,$D$57,FALSE)</f>
        <v>2.7237892150878906E-2</v>
      </c>
      <c r="G47" s="2">
        <f>F47*$D$54</f>
        <v>2.1790313720703125</v>
      </c>
    </row>
    <row r="48" spans="1:7" x14ac:dyDescent="0.25">
      <c r="C48" s="2">
        <v>1</v>
      </c>
      <c r="D48" s="2">
        <v>10</v>
      </c>
      <c r="E48" s="2">
        <f t="shared" ref="E48:E51" si="9">D48*C48</f>
        <v>10</v>
      </c>
      <c r="F48" s="2">
        <f t="shared" ref="F48:F51" si="10">_xlfn.BINOM.DIST(C48,$D$55,$D$57,FALSE)</f>
        <v>0.15923690795898438</v>
      </c>
      <c r="G48" s="2">
        <f t="shared" ref="G48:G51" si="11">F48*$D$54</f>
        <v>12.73895263671875</v>
      </c>
    </row>
    <row r="49" spans="3:7" x14ac:dyDescent="0.25">
      <c r="C49" s="2">
        <v>2</v>
      </c>
      <c r="D49" s="2">
        <v>25</v>
      </c>
      <c r="E49" s="2">
        <f t="shared" si="9"/>
        <v>50</v>
      </c>
      <c r="F49" s="2">
        <f t="shared" si="10"/>
        <v>0.34909629821777344</v>
      </c>
      <c r="G49" s="2">
        <f t="shared" si="11"/>
        <v>27.927703857421875</v>
      </c>
    </row>
    <row r="50" spans="3:7" x14ac:dyDescent="0.25">
      <c r="C50" s="2">
        <v>3</v>
      </c>
      <c r="D50" s="2">
        <v>30</v>
      </c>
      <c r="E50" s="2">
        <f t="shared" si="9"/>
        <v>90</v>
      </c>
      <c r="F50" s="2">
        <f t="shared" si="10"/>
        <v>0.34014511108398432</v>
      </c>
      <c r="G50" s="2">
        <f t="shared" si="11"/>
        <v>27.211608886718746</v>
      </c>
    </row>
    <row r="51" spans="3:7" x14ac:dyDescent="0.25">
      <c r="C51" s="2">
        <v>4</v>
      </c>
      <c r="D51" s="2">
        <v>10</v>
      </c>
      <c r="E51" s="2">
        <f t="shared" si="9"/>
        <v>40</v>
      </c>
      <c r="F51" s="2">
        <f t="shared" si="10"/>
        <v>0.12428379058837892</v>
      </c>
      <c r="G51" s="2">
        <f t="shared" si="11"/>
        <v>9.9427032470703143</v>
      </c>
    </row>
    <row r="52" spans="3:7" x14ac:dyDescent="0.25">
      <c r="C52" s="2"/>
      <c r="D52" s="3">
        <f>SUM(D47:D51)</f>
        <v>80</v>
      </c>
      <c r="E52" s="2">
        <f>SUM(E47:E51)</f>
        <v>190</v>
      </c>
      <c r="F52" s="2">
        <f>SUM(F47:F51)</f>
        <v>1</v>
      </c>
      <c r="G52" s="3">
        <f>SUM(G47:G51)</f>
        <v>80</v>
      </c>
    </row>
    <row r="54" spans="3:7" x14ac:dyDescent="0.25">
      <c r="C54" s="2" t="s">
        <v>6</v>
      </c>
      <c r="D54" s="2">
        <f>D52</f>
        <v>80</v>
      </c>
    </row>
    <row r="55" spans="3:7" x14ac:dyDescent="0.25">
      <c r="C55" s="2" t="s">
        <v>5</v>
      </c>
      <c r="D55" s="2">
        <v>4</v>
      </c>
    </row>
    <row r="56" spans="3:7" x14ac:dyDescent="0.25">
      <c r="C56" s="2" t="s">
        <v>4</v>
      </c>
      <c r="D56" s="2">
        <f>E52/D52</f>
        <v>2.375</v>
      </c>
    </row>
    <row r="57" spans="3:7" x14ac:dyDescent="0.25">
      <c r="C57" s="2" t="s">
        <v>7</v>
      </c>
      <c r="D57" s="2">
        <f>D56/D55</f>
        <v>0.59375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8CB7B-B52C-4330-9145-D614EB828ECD}">
  <dimension ref="B2:G14"/>
  <sheetViews>
    <sheetView tabSelected="1" topLeftCell="E1" zoomScale="120" zoomScaleNormal="120" workbookViewId="0">
      <selection activeCell="D11" sqref="D11"/>
    </sheetView>
  </sheetViews>
  <sheetFormatPr defaultColWidth="9.140625" defaultRowHeight="15" x14ac:dyDescent="0.25"/>
  <cols>
    <col min="1" max="5" width="9.140625" style="1"/>
    <col min="6" max="6" width="14.85546875" style="1" customWidth="1"/>
    <col min="7" max="7" width="12.140625" style="1" bestFit="1" customWidth="1"/>
    <col min="8" max="16384" width="9.140625" style="1"/>
  </cols>
  <sheetData>
    <row r="2" spans="2:7" x14ac:dyDescent="0.25">
      <c r="B2" s="1" t="s">
        <v>0</v>
      </c>
    </row>
    <row r="3" spans="2:7" x14ac:dyDescent="0.25">
      <c r="C3" s="2" t="s">
        <v>1</v>
      </c>
      <c r="D3" s="2" t="s">
        <v>2</v>
      </c>
      <c r="E3" s="2" t="s">
        <v>3</v>
      </c>
      <c r="F3" s="2" t="s">
        <v>8</v>
      </c>
      <c r="G3" s="2" t="s">
        <v>9</v>
      </c>
    </row>
    <row r="4" spans="2:7" x14ac:dyDescent="0.25">
      <c r="C4" s="2">
        <v>0</v>
      </c>
      <c r="D4" s="2">
        <v>213</v>
      </c>
      <c r="E4" s="2">
        <f>D4*C4</f>
        <v>0</v>
      </c>
      <c r="F4" s="2">
        <f t="shared" ref="F4:F10" si="0">_xlfn.POISSON.DIST(C4,$C$13,FALSE)</f>
        <v>0.50535203174428589</v>
      </c>
      <c r="G4" s="2">
        <f t="shared" ref="G4:G10" si="1">F4*$D$11</f>
        <v>202.14081269771435</v>
      </c>
    </row>
    <row r="5" spans="2:7" x14ac:dyDescent="0.25">
      <c r="C5" s="2">
        <v>1</v>
      </c>
      <c r="D5" s="2">
        <v>128</v>
      </c>
      <c r="E5" s="2">
        <f t="shared" ref="E5:E10" si="2">D5*C5</f>
        <v>128</v>
      </c>
      <c r="F5" s="2">
        <f t="shared" si="0"/>
        <v>0.34490276166547507</v>
      </c>
      <c r="G5" s="2">
        <f t="shared" si="1"/>
        <v>137.96110466619004</v>
      </c>
    </row>
    <row r="6" spans="2:7" x14ac:dyDescent="0.25">
      <c r="C6" s="2">
        <v>2</v>
      </c>
      <c r="D6" s="2">
        <v>37</v>
      </c>
      <c r="E6" s="2">
        <f t="shared" si="2"/>
        <v>74</v>
      </c>
      <c r="F6" s="2">
        <f t="shared" si="0"/>
        <v>0.11769806741834338</v>
      </c>
      <c r="G6" s="2">
        <f t="shared" si="1"/>
        <v>47.079226967337348</v>
      </c>
    </row>
    <row r="7" spans="2:7" x14ac:dyDescent="0.25">
      <c r="C7" s="2">
        <v>3</v>
      </c>
      <c r="D7" s="2">
        <v>18</v>
      </c>
      <c r="E7" s="2">
        <f t="shared" si="2"/>
        <v>54</v>
      </c>
      <c r="F7" s="2">
        <f t="shared" si="0"/>
        <v>2.6776310337673116E-2</v>
      </c>
      <c r="G7" s="2">
        <f t="shared" si="1"/>
        <v>10.710524135069246</v>
      </c>
    </row>
    <row r="8" spans="2:7" x14ac:dyDescent="0.25">
      <c r="C8" s="2">
        <v>4</v>
      </c>
      <c r="D8" s="2">
        <v>3</v>
      </c>
      <c r="E8" s="2">
        <f t="shared" si="2"/>
        <v>12</v>
      </c>
      <c r="F8" s="2">
        <f t="shared" si="0"/>
        <v>4.5687079513654751E-3</v>
      </c>
      <c r="G8" s="2">
        <f t="shared" si="1"/>
        <v>1.82748318054619</v>
      </c>
    </row>
    <row r="9" spans="2:7" x14ac:dyDescent="0.25">
      <c r="C9" s="2">
        <v>5</v>
      </c>
      <c r="D9" s="2">
        <v>1</v>
      </c>
      <c r="E9" s="2">
        <f t="shared" si="2"/>
        <v>5</v>
      </c>
      <c r="F9" s="2">
        <f t="shared" si="0"/>
        <v>6.2362863536138762E-4</v>
      </c>
      <c r="G9" s="2">
        <f t="shared" si="1"/>
        <v>0.24945145414455505</v>
      </c>
    </row>
    <row r="10" spans="2:7" x14ac:dyDescent="0.25">
      <c r="C10" s="2">
        <v>6</v>
      </c>
      <c r="D10" s="2">
        <v>0</v>
      </c>
      <c r="E10" s="2">
        <f t="shared" si="2"/>
        <v>0</v>
      </c>
      <c r="F10" s="2">
        <f t="shared" si="0"/>
        <v>7.0937757272357806E-5</v>
      </c>
      <c r="G10" s="2">
        <f t="shared" si="1"/>
        <v>2.8375102908943121E-2</v>
      </c>
    </row>
    <row r="11" spans="2:7" ht="15" customHeight="1" x14ac:dyDescent="0.25">
      <c r="C11" s="2"/>
      <c r="D11" s="2">
        <f>SUM(D4:D10)</f>
        <v>400</v>
      </c>
      <c r="E11" s="2">
        <f>SUM(E4:E10)</f>
        <v>273</v>
      </c>
      <c r="F11" s="2">
        <f>SUM(F4:F10)</f>
        <v>0.99999244550977662</v>
      </c>
      <c r="G11" s="2">
        <f>SUM(G4:G10)</f>
        <v>399.99697820391071</v>
      </c>
    </row>
    <row r="13" spans="2:7" x14ac:dyDescent="0.25">
      <c r="B13" s="2" t="s">
        <v>4</v>
      </c>
      <c r="C13" s="2">
        <f>E11/D11</f>
        <v>0.6825</v>
      </c>
    </row>
    <row r="14" spans="2:7" x14ac:dyDescent="0.25">
      <c r="B14" s="2" t="s">
        <v>6</v>
      </c>
      <c r="C14" s="2">
        <f>D11</f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Binomial fitting</vt:lpstr>
      <vt:lpstr>Poisson fitting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Dangi</dc:creator>
  <cp:lastModifiedBy>Paras Dangi</cp:lastModifiedBy>
  <dcterms:created xsi:type="dcterms:W3CDTF">2025-07-13T13:40:10Z</dcterms:created>
  <dcterms:modified xsi:type="dcterms:W3CDTF">2025-07-15T14:35:27Z</dcterms:modified>
</cp:coreProperties>
</file>