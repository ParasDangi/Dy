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y\Sem III\Mini Project\"/>
    </mc:Choice>
  </mc:AlternateContent>
  <xr:revisionPtr revIDLastSave="0" documentId="8_{9BD62B05-834B-4F85-B0E8-96873BC72CA3}" xr6:coauthVersionLast="47" xr6:coauthVersionMax="47" xr10:uidLastSave="{00000000-0000-0000-0000-000000000000}"/>
  <bookViews>
    <workbookView xWindow="-120" yWindow="-120" windowWidth="20730" windowHeight="11040" tabRatio="707" activeTab="2" xr2:uid="{00000000-000D-0000-FFFF-FFFF00000000}"/>
  </bookViews>
  <sheets>
    <sheet name="Report Card" sheetId="3" r:id="rId1"/>
    <sheet name="Dashboard and Graphs" sheetId="2" r:id="rId2"/>
    <sheet name="Datasheet " sheetId="1" r:id="rId3"/>
  </sheets>
  <definedNames>
    <definedName name="_xlnm._FilterDatabase" localSheetId="2" hidden="1">'Datasheet '!$A$1:$M$1</definedName>
  </definedNames>
  <calcPr calcId="191028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N4" i="1"/>
  <c r="N5" i="1"/>
  <c r="N6" i="1"/>
  <c r="N7" i="1"/>
  <c r="N8" i="1"/>
  <c r="N9" i="1"/>
  <c r="N10" i="1"/>
  <c r="N11" i="1"/>
  <c r="O125" i="1" s="1"/>
  <c r="N12" i="1"/>
  <c r="N13" i="1"/>
  <c r="N14" i="1"/>
  <c r="N15" i="1"/>
  <c r="N16" i="1"/>
  <c r="N17" i="1"/>
  <c r="N18" i="1"/>
  <c r="N19" i="1"/>
  <c r="O76" i="1" s="1"/>
  <c r="N20" i="1"/>
  <c r="N21" i="1"/>
  <c r="N22" i="1"/>
  <c r="N23" i="1"/>
  <c r="N24" i="1"/>
  <c r="N25" i="1"/>
  <c r="N26" i="1"/>
  <c r="N27" i="1"/>
  <c r="O27" i="1" s="1"/>
  <c r="N28" i="1"/>
  <c r="N29" i="1"/>
  <c r="N30" i="1"/>
  <c r="N31" i="1"/>
  <c r="N32" i="1"/>
  <c r="N33" i="1"/>
  <c r="N34" i="1"/>
  <c r="N35" i="1"/>
  <c r="O35" i="1" s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O51" i="1" s="1"/>
  <c r="N52" i="1"/>
  <c r="N53" i="1"/>
  <c r="N54" i="1"/>
  <c r="N55" i="1"/>
  <c r="N56" i="1"/>
  <c r="N57" i="1"/>
  <c r="N58" i="1"/>
  <c r="N59" i="1"/>
  <c r="O59" i="1" s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O75" i="1" s="1"/>
  <c r="N76" i="1"/>
  <c r="N77" i="1"/>
  <c r="N78" i="1"/>
  <c r="N79" i="1"/>
  <c r="N80" i="1"/>
  <c r="N81" i="1"/>
  <c r="N82" i="1"/>
  <c r="N83" i="1"/>
  <c r="O83" i="1" s="1"/>
  <c r="N84" i="1"/>
  <c r="N85" i="1"/>
  <c r="N86" i="1"/>
  <c r="N87" i="1"/>
  <c r="N88" i="1"/>
  <c r="N89" i="1"/>
  <c r="N90" i="1"/>
  <c r="N91" i="1"/>
  <c r="O91" i="1" s="1"/>
  <c r="N92" i="1"/>
  <c r="N93" i="1"/>
  <c r="N94" i="1"/>
  <c r="N95" i="1"/>
  <c r="N96" i="1"/>
  <c r="N97" i="1"/>
  <c r="N98" i="1"/>
  <c r="N99" i="1"/>
  <c r="O99" i="1" s="1"/>
  <c r="N100" i="1"/>
  <c r="N101" i="1"/>
  <c r="N102" i="1"/>
  <c r="N103" i="1"/>
  <c r="N104" i="1"/>
  <c r="N105" i="1"/>
  <c r="N106" i="1"/>
  <c r="N107" i="1"/>
  <c r="O107" i="1" s="1"/>
  <c r="N108" i="1"/>
  <c r="N109" i="1"/>
  <c r="N110" i="1"/>
  <c r="N111" i="1"/>
  <c r="N112" i="1"/>
  <c r="N113" i="1"/>
  <c r="N114" i="1"/>
  <c r="N115" i="1"/>
  <c r="O115" i="1" s="1"/>
  <c r="N116" i="1"/>
  <c r="N117" i="1"/>
  <c r="N118" i="1"/>
  <c r="N119" i="1"/>
  <c r="N120" i="1"/>
  <c r="N121" i="1"/>
  <c r="N122" i="1"/>
  <c r="N123" i="1"/>
  <c r="O123" i="1" s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O139" i="1" s="1"/>
  <c r="N3" i="1"/>
  <c r="E14" i="3"/>
  <c r="E17" i="3"/>
  <c r="F20" i="3"/>
  <c r="I20" i="3" s="1"/>
  <c r="F21" i="3"/>
  <c r="I21" i="3" s="1"/>
  <c r="F22" i="3"/>
  <c r="I22" i="3" s="1"/>
  <c r="F23" i="3"/>
  <c r="I23" i="3" s="1"/>
  <c r="F24" i="3"/>
  <c r="H24" i="3" s="1"/>
  <c r="F25" i="3"/>
  <c r="H25" i="3" s="1"/>
  <c r="E16" i="3"/>
  <c r="E15" i="3"/>
  <c r="C29" i="2"/>
  <c r="C5" i="2"/>
  <c r="I25" i="3"/>
  <c r="O133" i="1"/>
  <c r="O100" i="1"/>
  <c r="O36" i="1"/>
  <c r="O131" i="1"/>
  <c r="O67" i="1"/>
  <c r="O77" i="1"/>
  <c r="O138" i="1"/>
  <c r="O58" i="1"/>
  <c r="O10" i="1"/>
  <c r="O114" i="1"/>
  <c r="O66" i="1"/>
  <c r="O37" i="1"/>
  <c r="O104" i="1"/>
  <c r="O48" i="1"/>
  <c r="O24" i="1"/>
  <c r="O128" i="1"/>
  <c r="O80" i="1"/>
  <c r="O103" i="1"/>
  <c r="O79" i="1"/>
  <c r="O39" i="1"/>
  <c r="O15" i="1"/>
  <c r="O118" i="1"/>
  <c r="O94" i="1"/>
  <c r="O54" i="1"/>
  <c r="O30" i="1"/>
  <c r="O9" i="1"/>
  <c r="O17" i="1"/>
  <c r="O41" i="1"/>
  <c r="O129" i="1"/>
  <c r="O85" i="1" l="1"/>
  <c r="O73" i="1"/>
  <c r="O97" i="1"/>
  <c r="O62" i="1"/>
  <c r="O47" i="1"/>
  <c r="O111" i="1"/>
  <c r="O56" i="1"/>
  <c r="O74" i="1"/>
  <c r="O11" i="1"/>
  <c r="O124" i="1"/>
  <c r="O44" i="1"/>
  <c r="O108" i="1"/>
  <c r="O3" i="1"/>
  <c r="O121" i="1"/>
  <c r="O70" i="1"/>
  <c r="O134" i="1"/>
  <c r="O55" i="1"/>
  <c r="O93" i="1"/>
  <c r="O64" i="1"/>
  <c r="O18" i="1"/>
  <c r="O19" i="1"/>
  <c r="O13" i="1"/>
  <c r="O52" i="1"/>
  <c r="O132" i="1"/>
  <c r="O25" i="1"/>
  <c r="O14" i="1"/>
  <c r="O78" i="1"/>
  <c r="O101" i="1"/>
  <c r="O63" i="1"/>
  <c r="O127" i="1"/>
  <c r="O57" i="1"/>
  <c r="O72" i="1"/>
  <c r="O34" i="1"/>
  <c r="O29" i="1"/>
  <c r="O106" i="1"/>
  <c r="O61" i="1"/>
  <c r="O60" i="1"/>
  <c r="O5" i="1"/>
  <c r="O65" i="1"/>
  <c r="O126" i="1"/>
  <c r="O45" i="1"/>
  <c r="O130" i="1"/>
  <c r="O137" i="1"/>
  <c r="O6" i="1"/>
  <c r="O119" i="1"/>
  <c r="O90" i="1"/>
  <c r="O49" i="1"/>
  <c r="O89" i="1"/>
  <c r="O113" i="1"/>
  <c r="O22" i="1"/>
  <c r="O86" i="1"/>
  <c r="O7" i="1"/>
  <c r="O71" i="1"/>
  <c r="O135" i="1"/>
  <c r="O16" i="1"/>
  <c r="O88" i="1"/>
  <c r="O50" i="1"/>
  <c r="O69" i="1"/>
  <c r="O122" i="1"/>
  <c r="O4" i="1"/>
  <c r="O68" i="1"/>
  <c r="O53" i="1"/>
  <c r="O43" i="1"/>
  <c r="O12" i="1"/>
  <c r="O109" i="1"/>
  <c r="O33" i="1"/>
  <c r="O105" i="1"/>
  <c r="O38" i="1"/>
  <c r="O102" i="1"/>
  <c r="O23" i="1"/>
  <c r="O87" i="1"/>
  <c r="O96" i="1"/>
  <c r="O32" i="1"/>
  <c r="O120" i="1"/>
  <c r="O82" i="1"/>
  <c r="O26" i="1"/>
  <c r="O116" i="1"/>
  <c r="O20" i="1"/>
  <c r="O84" i="1"/>
  <c r="O117" i="1"/>
  <c r="O81" i="1"/>
  <c r="O8" i="1"/>
  <c r="O46" i="1"/>
  <c r="O110" i="1"/>
  <c r="O31" i="1"/>
  <c r="O95" i="1"/>
  <c r="O112" i="1"/>
  <c r="O40" i="1"/>
  <c r="O136" i="1"/>
  <c r="O98" i="1"/>
  <c r="O42" i="1"/>
  <c r="O21" i="1"/>
  <c r="O28" i="1"/>
  <c r="O92" i="1"/>
  <c r="H21" i="3"/>
  <c r="H22" i="3"/>
  <c r="H23" i="3"/>
  <c r="M23" i="3"/>
  <c r="M24" i="3" s="1"/>
  <c r="M25" i="3" s="1"/>
  <c r="I24" i="3"/>
  <c r="H20" i="3"/>
</calcChain>
</file>

<file path=xl/sharedStrings.xml><?xml version="1.0" encoding="utf-8"?>
<sst xmlns="http://schemas.openxmlformats.org/spreadsheetml/2006/main" count="883" uniqueCount="536">
  <si>
    <t>Father's Name</t>
  </si>
  <si>
    <t>Class</t>
  </si>
  <si>
    <t>English</t>
  </si>
  <si>
    <t>Hindi</t>
  </si>
  <si>
    <t>Science</t>
  </si>
  <si>
    <t>Maths</t>
  </si>
  <si>
    <t>SST</t>
  </si>
  <si>
    <t>PATIL RAJ NAMADEV</t>
  </si>
  <si>
    <t>INDA DIMPALKANWAR JABARSINGH</t>
  </si>
  <si>
    <t>MISHRA NIDHI VIPIN</t>
  </si>
  <si>
    <t>BAM DEEPIKA KRISHNA</t>
  </si>
  <si>
    <t>PRASAD SALONI PAWAN</t>
  </si>
  <si>
    <t>BHATT GAURAV TILAK</t>
  </si>
  <si>
    <t>JAISWAR ISHA SIKANDAR</t>
  </si>
  <si>
    <t>SAH VISHNUKUMAR PRAMOD</t>
  </si>
  <si>
    <t>ADITI RAJESH GUPTA</t>
  </si>
  <si>
    <t>ADITYA DIPAK TAPKIR</t>
  </si>
  <si>
    <t>ADITYA JEEVAN SATPUTE</t>
  </si>
  <si>
    <t>AFFAN MUJAHID SHAIKH</t>
  </si>
  <si>
    <t>ARPITA SURJEET CHAUHAN</t>
  </si>
  <si>
    <t>DEVIYANI TEJBAHADUR MASTER</t>
  </si>
  <si>
    <t>DIVYA TEJBAHADUR MASTER</t>
  </si>
  <si>
    <t>GITANJALI SHAILESH CHAUHAN</t>
  </si>
  <si>
    <t>HAMZA AMEER KHAN</t>
  </si>
  <si>
    <t>HARISH KIRAN MUTHE</t>
  </si>
  <si>
    <t>HRISHANT SACHIN JADHAV</t>
  </si>
  <si>
    <t>HUZAIFA WASEEM QURESHI</t>
  </si>
  <si>
    <t>KARAN KAILASH SINGH</t>
  </si>
  <si>
    <t>MAYUR MANOJ PATIL</t>
  </si>
  <si>
    <t>MEHEREEN SAMEER KHAN</t>
  </si>
  <si>
    <t>MISABA SHABBIR SHAIKH</t>
  </si>
  <si>
    <t>MUSKAN AMARJEET RAIJI</t>
  </si>
  <si>
    <t>NAMAN SACHIN KALLA</t>
  </si>
  <si>
    <t>PARTH RAJENDRA DAVANE</t>
  </si>
  <si>
    <t>PAYAL RAVINDRASINGH DHILLON</t>
  </si>
  <si>
    <t>POONAM BHIMSINGH DHAMI</t>
  </si>
  <si>
    <t>PRASAD SAHIL PAWAN</t>
  </si>
  <si>
    <t>PRITI PRAMOD GOND</t>
  </si>
  <si>
    <t>RAHUL OMPRAKASH JANGID</t>
  </si>
  <si>
    <t>ROHAN ARUN SUKRE</t>
  </si>
  <si>
    <t>ROHIT CHHATRASAL BAGHEL</t>
  </si>
  <si>
    <t>ROSHNI CHHATRASAL BAGHEL</t>
  </si>
  <si>
    <t>RUTIK SURESH SAVEKAR</t>
  </si>
  <si>
    <t>SACHIN LADURAM JANGID</t>
  </si>
  <si>
    <t>SAFAK SHOIEB SHAIKH</t>
  </si>
  <si>
    <t>SAI GANESH KAMBLE</t>
  </si>
  <si>
    <t>SAMEER JAINUDDIN SHAIKH</t>
  </si>
  <si>
    <t>SHRAMIK SURESH CHOUDHARI</t>
  </si>
  <si>
    <t>SOHAM DHANRAJ AMLE</t>
  </si>
  <si>
    <t>SONAKSHI DNYANESHWAR VITKAR</t>
  </si>
  <si>
    <t>SUHAIL AZAD SHAIKH</t>
  </si>
  <si>
    <t>SUSHILA KARANSINGH DHANUK</t>
  </si>
  <si>
    <t>SWARALI MACHINDRA GOPHANE</t>
  </si>
  <si>
    <t>SWAROOPSINGH MANOHARSINGH INDA</t>
  </si>
  <si>
    <t>VEDANT AWDHESH DUBEY</t>
  </si>
  <si>
    <t>VIRAJ BHIMA MHETRE</t>
  </si>
  <si>
    <t>VIVEK RAJARAM JAISWAL</t>
  </si>
  <si>
    <t>WOSTI SAINATH MAHANAND</t>
  </si>
  <si>
    <t>ABHAY VIPIN MISHRA</t>
  </si>
  <si>
    <t>ADITYA PARDESHILAL VARMA</t>
  </si>
  <si>
    <t>ANIKET NANDPRAKASH GUPTA</t>
  </si>
  <si>
    <t>ANSH PANKAJ PANDEY</t>
  </si>
  <si>
    <t>ANUSHKA RAMPRAVESH VISHWAKARMA</t>
  </si>
  <si>
    <t>ARPITA RAM SINGH</t>
  </si>
  <si>
    <t>ASHISH DARMENDRA RAISONI</t>
  </si>
  <si>
    <t>ASHISH MAHESH CHAUDHARI</t>
  </si>
  <si>
    <t>ATHARVA ABHIJEET MALIK</t>
  </si>
  <si>
    <t>ATMAJA ANAND ATOLE</t>
  </si>
  <si>
    <t>AYUSH VIKAS OVHAL</t>
  </si>
  <si>
    <t>BHAGAT SHANKAR SUNAR</t>
  </si>
  <si>
    <t>CHIRAG SHANKARLAL MALVIYA</t>
  </si>
  <si>
    <t>DEEPANSHI SATISH SINGH</t>
  </si>
  <si>
    <t>DHANUSH PRASAD NAMBIAR</t>
  </si>
  <si>
    <t>DIKSHITA PREMCHAND RAYSONI</t>
  </si>
  <si>
    <t>GUPTA TARKESHWAR PRATIK</t>
  </si>
  <si>
    <t>JAINUL ALDIN VASIMRAJA SHAH</t>
  </si>
  <si>
    <t>JAYASHREE GAJENDRA RAJPUT</t>
  </si>
  <si>
    <t>KHUSHBHU BHUNDRAM PARMAR</t>
  </si>
  <si>
    <t>LUCKY SANJAY THAPA</t>
  </si>
  <si>
    <t>MANAS VALMIK BORSE</t>
  </si>
  <si>
    <t>MANISHA DALARAM SIRVI</t>
  </si>
  <si>
    <t>MOHINI RAJU KANERIYA</t>
  </si>
  <si>
    <t>NAIR AKASH VINOD</t>
  </si>
  <si>
    <t>NAITIK SURESH SINGH</t>
  </si>
  <si>
    <t>NEHA KAILASH SINGH</t>
  </si>
  <si>
    <t>NIRANJAN MAHADEV BANSODE</t>
  </si>
  <si>
    <t>PRADNYA SUSHIL GAVALI</t>
  </si>
  <si>
    <t>RITIKA PAVANKUMAR GARG</t>
  </si>
  <si>
    <t>RIYA ASHOK JAISWAL</t>
  </si>
  <si>
    <t>SAI BABU CHATRE</t>
  </si>
  <si>
    <t>SAMRUDDHI VIJAY TAMBE</t>
  </si>
  <si>
    <t>SANTOSH KANKESH CHAVAN</t>
  </si>
  <si>
    <t>SIDDHI JOGINDER SHARMA</t>
  </si>
  <si>
    <t>SIFA MUSTAFA ANSARI</t>
  </si>
  <si>
    <t>SUFIYAN NIZAMUDDIN KHAN</t>
  </si>
  <si>
    <t>TAHURA ZUBER SHAIKH</t>
  </si>
  <si>
    <t>TANVI AMOL PHADKE</t>
  </si>
  <si>
    <t>UMMEHANI MOHAMMEDRASUL PASHA</t>
  </si>
  <si>
    <t>VAIBHAVI CHANDRAPRAKASH JADHAV</t>
  </si>
  <si>
    <t>VAIBHAVI PRADIP PATIL</t>
  </si>
  <si>
    <t>VAIDEHI PRADIP PATIL</t>
  </si>
  <si>
    <t>VAISHNAVI RAJU VANDAGAL</t>
  </si>
  <si>
    <t>VEDANT RAHUL PUJARI</t>
  </si>
  <si>
    <t>ZEENAT TASLIM HAJARATBHAI</t>
  </si>
  <si>
    <t>AAMIR RAMZAN SHAIKH</t>
  </si>
  <si>
    <t>ABHISHEK KRISHNA AMKING</t>
  </si>
  <si>
    <t>ADITYA SACHIN VITEKAR</t>
  </si>
  <si>
    <t>AKSHARA PRADEEP JAISWAR</t>
  </si>
  <si>
    <t>ANJALI ASHISHKUMAR AGARWAL</t>
  </si>
  <si>
    <t>ANKITA VITTHAL BORSE</t>
  </si>
  <si>
    <t>ANSARI AJAM SHAUKAT</t>
  </si>
  <si>
    <t>ATHARVA DINESH MISHRA</t>
  </si>
  <si>
    <t>BHAGYASHRI PRASHANT AMBILWADE</t>
  </si>
  <si>
    <t>DAMODAR KUMAR UDAY DANGI</t>
  </si>
  <si>
    <t>DISHA DAMODAR KUKEN</t>
  </si>
  <si>
    <t>FARHAT SHAKILAHAMAD MULLA</t>
  </si>
  <si>
    <t>HARSHIT DASHRATH LAL VISHWAKARMA</t>
  </si>
  <si>
    <t>HARSHIT RATNESH PANDEY</t>
  </si>
  <si>
    <t>KAMBLE RASIKA MITHU</t>
  </si>
  <si>
    <t>KASHISH RAJAN GUPTA</t>
  </si>
  <si>
    <t>KIRAN GOVIND SHINDE</t>
  </si>
  <si>
    <t>KRISHNA MOHANSINGH BISHT</t>
  </si>
  <si>
    <t>MANISH ISHWAR SONAWANE</t>
  </si>
  <si>
    <t>MOHHAMADJAID MANSUR BHALDAR</t>
  </si>
  <si>
    <t>NAITIK BRIJESH SINGH</t>
  </si>
  <si>
    <t>PANDEY ABHIJIT PUSHPADHAR</t>
  </si>
  <si>
    <t>PRACHI SUBHASH KORI</t>
  </si>
  <si>
    <t>PRANAY OMPRAKASH JAISWAR</t>
  </si>
  <si>
    <t>PRAPTI DIGAMBAR SATPUTE</t>
  </si>
  <si>
    <t>PREM MINBAHADUR DHAMI</t>
  </si>
  <si>
    <t>PUJA RAJARAM JAYSWAL</t>
  </si>
  <si>
    <t>PURVA HANUMANT CHAVHAN</t>
  </si>
  <si>
    <t>RITU GAJENDRA RAJPUT</t>
  </si>
  <si>
    <t>SAHARA SATISH SHARMA</t>
  </si>
  <si>
    <t>SANCHITA SUDHIR DHERANGE</t>
  </si>
  <si>
    <t>SHAHNAWAZ SHAFIQUE ANSARI</t>
  </si>
  <si>
    <t>SHASHI SANJAY GUPTA</t>
  </si>
  <si>
    <t>SHRUTI NILESH SHRAVAGI</t>
  </si>
  <si>
    <t>STUTI RAMESH PUJARI</t>
  </si>
  <si>
    <t>TANIKA HARISH POOJARY</t>
  </si>
  <si>
    <t>TANVI OMNATH KAMBLE</t>
  </si>
  <si>
    <t>VAISHANAVI VIJAY GHARGE</t>
  </si>
  <si>
    <t>YOGESH RAJESH THORAT</t>
  </si>
  <si>
    <t>ZOHA MUJAHID MARUF</t>
  </si>
  <si>
    <t>Gender</t>
  </si>
  <si>
    <t>Female</t>
  </si>
  <si>
    <t>Male</t>
  </si>
  <si>
    <t>RAJESH</t>
  </si>
  <si>
    <t>DEEPAK</t>
  </si>
  <si>
    <t>JEEVAN</t>
  </si>
  <si>
    <t>MUJAHID</t>
  </si>
  <si>
    <t>SURJEET</t>
  </si>
  <si>
    <t>TEJBAHADUR</t>
  </si>
  <si>
    <t>SHAILESH</t>
  </si>
  <si>
    <t>HAMZA</t>
  </si>
  <si>
    <t>DINKAR</t>
  </si>
  <si>
    <t>SACHIN</t>
  </si>
  <si>
    <t>WASEEM</t>
  </si>
  <si>
    <t>KAILASH</t>
  </si>
  <si>
    <t>MANOJ DEVIDAS</t>
  </si>
  <si>
    <t>SAMEER QUYYUM</t>
  </si>
  <si>
    <t>SHABBIR</t>
  </si>
  <si>
    <t>AMARJEET</t>
  </si>
  <si>
    <t>RAJENDRA</t>
  </si>
  <si>
    <t>BHIMSINGH</t>
  </si>
  <si>
    <t>PAWAN</t>
  </si>
  <si>
    <t>PRAMOD</t>
  </si>
  <si>
    <t>OMPRAKASH</t>
  </si>
  <si>
    <t>ARUN</t>
  </si>
  <si>
    <t>CHHATRASAL</t>
  </si>
  <si>
    <t>SURESH</t>
  </si>
  <si>
    <t>LADURAM</t>
  </si>
  <si>
    <t>SHOIEB</t>
  </si>
  <si>
    <t>JAINUDDIN</t>
  </si>
  <si>
    <t>SAMEER</t>
  </si>
  <si>
    <t>DHANRAJ</t>
  </si>
  <si>
    <t>DNYANESHWA</t>
  </si>
  <si>
    <t>AZAD</t>
  </si>
  <si>
    <t>KARANSINGH</t>
  </si>
  <si>
    <t>MACCHINDAR</t>
  </si>
  <si>
    <t>MANOHARSINGH</t>
  </si>
  <si>
    <t>AWDHESH</t>
  </si>
  <si>
    <t>BHIMA</t>
  </si>
  <si>
    <t>RAJARAM</t>
  </si>
  <si>
    <t>MAHANAND</t>
  </si>
  <si>
    <t>VIPIN</t>
  </si>
  <si>
    <t>PARDESHILAL</t>
  </si>
  <si>
    <t>NANDPRAKASH</t>
  </si>
  <si>
    <t>PANKAJ</t>
  </si>
  <si>
    <t>RAMPRAVESH</t>
  </si>
  <si>
    <t>RAM SINGH</t>
  </si>
  <si>
    <t>DARMENDRA</t>
  </si>
  <si>
    <t>MAHESH</t>
  </si>
  <si>
    <t>ABHIJEET</t>
  </si>
  <si>
    <t>ANAND</t>
  </si>
  <si>
    <t>VIKAS</t>
  </si>
  <si>
    <t>BHAGAT</t>
  </si>
  <si>
    <t>SHANKARLAL</t>
  </si>
  <si>
    <t>SATISH</t>
  </si>
  <si>
    <t>PRASAD</t>
  </si>
  <si>
    <t>PREMCHAND</t>
  </si>
  <si>
    <t>TARKESHWAR</t>
  </si>
  <si>
    <t>VASIMRAJA</t>
  </si>
  <si>
    <t>GAJENDRA</t>
  </si>
  <si>
    <t>BHUNDRAM</t>
  </si>
  <si>
    <t>SANJAY</t>
  </si>
  <si>
    <t>VALMIK</t>
  </si>
  <si>
    <t>DOLARAM</t>
  </si>
  <si>
    <t>RAJU</t>
  </si>
  <si>
    <t>VINOD</t>
  </si>
  <si>
    <t>MAHADEV</t>
  </si>
  <si>
    <t>SUSHIL</t>
  </si>
  <si>
    <t>PAVANKUMAR</t>
  </si>
  <si>
    <t>ASHOK</t>
  </si>
  <si>
    <t>BABU</t>
  </si>
  <si>
    <t>VIJAY</t>
  </si>
  <si>
    <t>SANTOSH</t>
  </si>
  <si>
    <t>JOGINDER</t>
  </si>
  <si>
    <t>MUSTAFA</t>
  </si>
  <si>
    <t>NIZAMUDDIN</t>
  </si>
  <si>
    <t>ZUBER</t>
  </si>
  <si>
    <t>AMOL</t>
  </si>
  <si>
    <t>MOHAMMEDRASUL</t>
  </si>
  <si>
    <t>CHANDRAPRAKASH</t>
  </si>
  <si>
    <t>PRADIP</t>
  </si>
  <si>
    <t>RAHUL</t>
  </si>
  <si>
    <t>TASLIM</t>
  </si>
  <si>
    <t>RAMZAN</t>
  </si>
  <si>
    <t>KRISHNA</t>
  </si>
  <si>
    <t>PRADEEP</t>
  </si>
  <si>
    <t>ASHISH</t>
  </si>
  <si>
    <t>VITTHAL</t>
  </si>
  <si>
    <t>SHAUKAT</t>
  </si>
  <si>
    <t>DINESH</t>
  </si>
  <si>
    <t>PRASHANT</t>
  </si>
  <si>
    <t>TILAK</t>
  </si>
  <si>
    <t>UDAY</t>
  </si>
  <si>
    <t>DAMODAR</t>
  </si>
  <si>
    <t>SHAKILAHAMAD</t>
  </si>
  <si>
    <t>DASHRATHLAL</t>
  </si>
  <si>
    <t>RATNESH</t>
  </si>
  <si>
    <t>JABARSUNGH</t>
  </si>
  <si>
    <t>SIKANDAR</t>
  </si>
  <si>
    <t>MITHU</t>
  </si>
  <si>
    <t>RAJAN</t>
  </si>
  <si>
    <t>GOVIND</t>
  </si>
  <si>
    <t>MOHANSINGH</t>
  </si>
  <si>
    <t>ISHWAR</t>
  </si>
  <si>
    <t>MANSUR</t>
  </si>
  <si>
    <t>BRIJESH</t>
  </si>
  <si>
    <t>PUSPADHAR</t>
  </si>
  <si>
    <t>NAMDEV</t>
  </si>
  <si>
    <t>SUBHASH</t>
  </si>
  <si>
    <t>DIGAMBAR</t>
  </si>
  <si>
    <t>MINBAHADUR</t>
  </si>
  <si>
    <t>HANUMANT</t>
  </si>
  <si>
    <t>SUDHIR</t>
  </si>
  <si>
    <t>SHAFIQUE</t>
  </si>
  <si>
    <t>NILESH</t>
  </si>
  <si>
    <t>RAMESH</t>
  </si>
  <si>
    <t>HARISH</t>
  </si>
  <si>
    <t>OMNATH</t>
  </si>
  <si>
    <t>POOJA</t>
  </si>
  <si>
    <t>JAYSHREE</t>
  </si>
  <si>
    <t>SARASWATI</t>
  </si>
  <si>
    <t>SHAKERA</t>
  </si>
  <si>
    <t>REENA</t>
  </si>
  <si>
    <t>LALITA</t>
  </si>
  <si>
    <t>ANJU</t>
  </si>
  <si>
    <t>NASEEM</t>
  </si>
  <si>
    <t>ARCHANA</t>
  </si>
  <si>
    <t>YOGITA</t>
  </si>
  <si>
    <t>KAUSAR</t>
  </si>
  <si>
    <t>ANJALI DEVI</t>
  </si>
  <si>
    <t>SUNITA</t>
  </si>
  <si>
    <t>SABA</t>
  </si>
  <si>
    <t>SUMAN</t>
  </si>
  <si>
    <t>DEEPA</t>
  </si>
  <si>
    <t>MANISHA</t>
  </si>
  <si>
    <t>KOKILA</t>
  </si>
  <si>
    <t>PRIYA</t>
  </si>
  <si>
    <t>MEERA</t>
  </si>
  <si>
    <t>REKHADEVI</t>
  </si>
  <si>
    <t>ASHWINI</t>
  </si>
  <si>
    <t>SURAJMUKHI</t>
  </si>
  <si>
    <t>FIRDAUS</t>
  </si>
  <si>
    <t>KARIMA</t>
  </si>
  <si>
    <t>RENUKA</t>
  </si>
  <si>
    <t>SARIKA</t>
  </si>
  <si>
    <t>RASHIDA</t>
  </si>
  <si>
    <t>AMRUTA</t>
  </si>
  <si>
    <t>ROHINI</t>
  </si>
  <si>
    <t>VIMAL</t>
  </si>
  <si>
    <t>SANDHYA</t>
  </si>
  <si>
    <t>RINKUDEVI</t>
  </si>
  <si>
    <t>KHIMADEVI</t>
  </si>
  <si>
    <t>ARATI</t>
  </si>
  <si>
    <t>NEHA</t>
  </si>
  <si>
    <t>BHARATI</t>
  </si>
  <si>
    <t>MAMTA</t>
  </si>
  <si>
    <t>SUSHMA</t>
  </si>
  <si>
    <t>ANITA</t>
  </si>
  <si>
    <t>MANJU</t>
  </si>
  <si>
    <t>VAISHALI</t>
  </si>
  <si>
    <t>AKSHATA</t>
  </si>
  <si>
    <t>JYOTSANA</t>
  </si>
  <si>
    <t>YOGINI</t>
  </si>
  <si>
    <t>SAVITA</t>
  </si>
  <si>
    <t>PRAKASHDEVI</t>
  </si>
  <si>
    <t>SEEMA</t>
  </si>
  <si>
    <t>DEEPALI</t>
  </si>
  <si>
    <t>PINKY</t>
  </si>
  <si>
    <t>SARITA</t>
  </si>
  <si>
    <t>NASIMBANO</t>
  </si>
  <si>
    <t>NEMUNKANWAR</t>
  </si>
  <si>
    <t>LEELA</t>
  </si>
  <si>
    <t>CHETKUMARI</t>
  </si>
  <si>
    <t>JYOTI</t>
  </si>
  <si>
    <t>VIMALA</t>
  </si>
  <si>
    <t>POONAM</t>
  </si>
  <si>
    <t>RAJI</t>
  </si>
  <si>
    <t>PRATIBHA</t>
  </si>
  <si>
    <t>ANJALI</t>
  </si>
  <si>
    <t>POURNIMA</t>
  </si>
  <si>
    <t>PRATIMA</t>
  </si>
  <si>
    <t>SANJU</t>
  </si>
  <si>
    <t>RESHMA</t>
  </si>
  <si>
    <t>ANATIA</t>
  </si>
  <si>
    <t>VIJAYALAKSHAMI</t>
  </si>
  <si>
    <t>SALEHA</t>
  </si>
  <si>
    <t>SHAHIN</t>
  </si>
  <si>
    <t>SHABANA</t>
  </si>
  <si>
    <t>VARSHA</t>
  </si>
  <si>
    <t>NOORFROJ</t>
  </si>
  <si>
    <t>SANGITA</t>
  </si>
  <si>
    <t>PRIYANKA</t>
  </si>
  <si>
    <t>ZAHURA</t>
  </si>
  <si>
    <t>REEBIKA</t>
  </si>
  <si>
    <t>INDU</t>
  </si>
  <si>
    <t>VEENA</t>
  </si>
  <si>
    <t>MUKTABAI</t>
  </si>
  <si>
    <t>ISHRAT</t>
  </si>
  <si>
    <t>RANJANA</t>
  </si>
  <si>
    <t>DIVYA</t>
  </si>
  <si>
    <t>MADHURI</t>
  </si>
  <si>
    <t>BABITA</t>
  </si>
  <si>
    <t>KUNTI</t>
  </si>
  <si>
    <t>AFSEEN</t>
  </si>
  <si>
    <t>LAXMI</t>
  </si>
  <si>
    <t>RAWAL</t>
  </si>
  <si>
    <t>AAMRAPALI</t>
  </si>
  <si>
    <t>MANA</t>
  </si>
  <si>
    <t>JANKI</t>
  </si>
  <si>
    <t>ALKA</t>
  </si>
  <si>
    <t>AARTI</t>
  </si>
  <si>
    <t>MINAJ</t>
  </si>
  <si>
    <t>SUDHA</t>
  </si>
  <si>
    <t>SHWETA</t>
  </si>
  <si>
    <t>SHAKUNTALE</t>
  </si>
  <si>
    <t>BISHNA</t>
  </si>
  <si>
    <t>KANWAR</t>
  </si>
  <si>
    <t>GAYATRI</t>
  </si>
  <si>
    <t>AFSANA</t>
  </si>
  <si>
    <t>MANU</t>
  </si>
  <si>
    <t>MALATI</t>
  </si>
  <si>
    <t>SEETA</t>
  </si>
  <si>
    <t>PRIYADARSHANI</t>
  </si>
  <si>
    <t>SWATI</t>
  </si>
  <si>
    <t>LATA</t>
  </si>
  <si>
    <t>VANDANA</t>
  </si>
  <si>
    <t>ASMA</t>
  </si>
  <si>
    <t>VIII</t>
  </si>
  <si>
    <t>IX</t>
  </si>
  <si>
    <t>X</t>
  </si>
  <si>
    <t>Marathi</t>
  </si>
  <si>
    <t>A063863</t>
  </si>
  <si>
    <t>A063864</t>
  </si>
  <si>
    <t>A063865</t>
  </si>
  <si>
    <t>A063866</t>
  </si>
  <si>
    <t>A063867</t>
  </si>
  <si>
    <t>A063868</t>
  </si>
  <si>
    <t>A063869</t>
  </si>
  <si>
    <t>A063870</t>
  </si>
  <si>
    <t>A063871</t>
  </si>
  <si>
    <t>A063872</t>
  </si>
  <si>
    <t>A063873</t>
  </si>
  <si>
    <t>A063874</t>
  </si>
  <si>
    <t>A063875</t>
  </si>
  <si>
    <t>A063876</t>
  </si>
  <si>
    <t>A063877</t>
  </si>
  <si>
    <t>A063878</t>
  </si>
  <si>
    <t>A063879</t>
  </si>
  <si>
    <t>A063880</t>
  </si>
  <si>
    <t>A063881</t>
  </si>
  <si>
    <t>A063882</t>
  </si>
  <si>
    <t>A063883</t>
  </si>
  <si>
    <t>A063884</t>
  </si>
  <si>
    <t>A063885</t>
  </si>
  <si>
    <t>A063886</t>
  </si>
  <si>
    <t>A063887</t>
  </si>
  <si>
    <t>A063888</t>
  </si>
  <si>
    <t>A063889</t>
  </si>
  <si>
    <t>A063890</t>
  </si>
  <si>
    <t>A063891</t>
  </si>
  <si>
    <t>A063892</t>
  </si>
  <si>
    <t>A063893</t>
  </si>
  <si>
    <t>A063894</t>
  </si>
  <si>
    <t>A063895</t>
  </si>
  <si>
    <t>A063896</t>
  </si>
  <si>
    <t>A063897</t>
  </si>
  <si>
    <t>A063898</t>
  </si>
  <si>
    <t>A063899</t>
  </si>
  <si>
    <t>A063900</t>
  </si>
  <si>
    <t>A063901</t>
  </si>
  <si>
    <t>A063902</t>
  </si>
  <si>
    <t>A063903</t>
  </si>
  <si>
    <t>A063904</t>
  </si>
  <si>
    <t>A063905</t>
  </si>
  <si>
    <t>A063906</t>
  </si>
  <si>
    <t>A063907</t>
  </si>
  <si>
    <t>A063908</t>
  </si>
  <si>
    <t>A063909</t>
  </si>
  <si>
    <t>A063910</t>
  </si>
  <si>
    <t>A063911</t>
  </si>
  <si>
    <t>A063912</t>
  </si>
  <si>
    <t>A063913</t>
  </si>
  <si>
    <t>A063914</t>
  </si>
  <si>
    <t>A063915</t>
  </si>
  <si>
    <t>A063916</t>
  </si>
  <si>
    <t>A063917</t>
  </si>
  <si>
    <t>A063918</t>
  </si>
  <si>
    <t>A063919</t>
  </si>
  <si>
    <t>A063920</t>
  </si>
  <si>
    <t>A063921</t>
  </si>
  <si>
    <t>A063922</t>
  </si>
  <si>
    <t>A063923</t>
  </si>
  <si>
    <t>A063924</t>
  </si>
  <si>
    <t>A063925</t>
  </si>
  <si>
    <t>A063926</t>
  </si>
  <si>
    <t>A063927</t>
  </si>
  <si>
    <t>A063928</t>
  </si>
  <si>
    <t>A063929</t>
  </si>
  <si>
    <t>A063930</t>
  </si>
  <si>
    <t>A063931</t>
  </si>
  <si>
    <t>A063932</t>
  </si>
  <si>
    <t>A063933</t>
  </si>
  <si>
    <t>A063934</t>
  </si>
  <si>
    <t>A063935</t>
  </si>
  <si>
    <t>A063936</t>
  </si>
  <si>
    <t>A063937</t>
  </si>
  <si>
    <t>A063938</t>
  </si>
  <si>
    <t>A063939</t>
  </si>
  <si>
    <t>A063940</t>
  </si>
  <si>
    <t>A063941</t>
  </si>
  <si>
    <t>A063942</t>
  </si>
  <si>
    <t>A063943</t>
  </si>
  <si>
    <t>A063944</t>
  </si>
  <si>
    <t>A063945</t>
  </si>
  <si>
    <t>A063946</t>
  </si>
  <si>
    <t>A063947</t>
  </si>
  <si>
    <t>A063948</t>
  </si>
  <si>
    <t>A063949</t>
  </si>
  <si>
    <t>A063950</t>
  </si>
  <si>
    <t>A063951</t>
  </si>
  <si>
    <t>A063952</t>
  </si>
  <si>
    <t>A063953</t>
  </si>
  <si>
    <t>A063954</t>
  </si>
  <si>
    <t>A063955</t>
  </si>
  <si>
    <t>A063956</t>
  </si>
  <si>
    <t>A063957</t>
  </si>
  <si>
    <t>A063958</t>
  </si>
  <si>
    <t>A063959</t>
  </si>
  <si>
    <t>A063960</t>
  </si>
  <si>
    <t>A063961</t>
  </si>
  <si>
    <t>A063962</t>
  </si>
  <si>
    <t>A063963</t>
  </si>
  <si>
    <t>A063964</t>
  </si>
  <si>
    <t>A063965</t>
  </si>
  <si>
    <t>A063966</t>
  </si>
  <si>
    <t>A063967</t>
  </si>
  <si>
    <t>A063968</t>
  </si>
  <si>
    <t>A063969</t>
  </si>
  <si>
    <t>A063970</t>
  </si>
  <si>
    <t>A063971</t>
  </si>
  <si>
    <t>A063972</t>
  </si>
  <si>
    <t>A063973</t>
  </si>
  <si>
    <t>A063974</t>
  </si>
  <si>
    <t>A063975</t>
  </si>
  <si>
    <t>A063976</t>
  </si>
  <si>
    <t>A063977</t>
  </si>
  <si>
    <t>A063978</t>
  </si>
  <si>
    <t>A063979</t>
  </si>
  <si>
    <t>A063980</t>
  </si>
  <si>
    <t>A063981</t>
  </si>
  <si>
    <t>A063982</t>
  </si>
  <si>
    <t>A063983</t>
  </si>
  <si>
    <t>A063984</t>
  </si>
  <si>
    <t>A063985</t>
  </si>
  <si>
    <t>A063986</t>
  </si>
  <si>
    <t>A063987</t>
  </si>
  <si>
    <t>A063988</t>
  </si>
  <si>
    <t>A063989</t>
  </si>
  <si>
    <t>A063990</t>
  </si>
  <si>
    <t>A063991</t>
  </si>
  <si>
    <t>A063992</t>
  </si>
  <si>
    <t>A063993</t>
  </si>
  <si>
    <t>A063994</t>
  </si>
  <si>
    <t>A063995</t>
  </si>
  <si>
    <t>A063996</t>
  </si>
  <si>
    <t>A063997</t>
  </si>
  <si>
    <t>A063998</t>
  </si>
  <si>
    <t>A063999</t>
  </si>
  <si>
    <t>Mother's Name</t>
  </si>
  <si>
    <t>Count of Female</t>
  </si>
  <si>
    <t>Sex Ratio</t>
  </si>
  <si>
    <t xml:space="preserve">Number of Students </t>
  </si>
  <si>
    <t>Total</t>
  </si>
  <si>
    <t>Seat No.</t>
  </si>
  <si>
    <t>Student's Name</t>
  </si>
  <si>
    <t>:</t>
  </si>
  <si>
    <t xml:space="preserve">SUBJECT </t>
  </si>
  <si>
    <t>OBTAINED MARKS</t>
  </si>
  <si>
    <t xml:space="preserve">TOTAL MARKS </t>
  </si>
  <si>
    <t>GRADE</t>
  </si>
  <si>
    <t>RESULT</t>
  </si>
  <si>
    <t>Obtained Marks</t>
  </si>
  <si>
    <t>Percentage</t>
  </si>
  <si>
    <t>Division</t>
  </si>
  <si>
    <t>DOB</t>
  </si>
  <si>
    <t xml:space="preserve">RAVINDER </t>
  </si>
  <si>
    <t xml:space="preserve">DAMYANTI </t>
  </si>
  <si>
    <t xml:space="preserve">GANESH </t>
  </si>
  <si>
    <t xml:space="preserve">DIPALI </t>
  </si>
  <si>
    <t>Performance of all students in different subjects</t>
  </si>
  <si>
    <t>Marks Out of 600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</si>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</sst>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Pristina"/>
      <family val="4"/>
    </font>
    <font>
      <b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36"/>
      <color theme="4" tint="-0.249977111117893"/>
      <name val="Times New Roman"/>
      <family val="1"/>
    </font>
    <font>
      <sz val="11"/>
      <color theme="0"/>
      <name val="Aptos Narrow"/>
      <family val="2"/>
      <scheme val="minor"/>
    </font>
    <font>
      <sz val="18"/>
      <color rgb="FFFFFF0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3" fillId="3" borderId="0" xfId="0" applyFont="1" applyFill="1"/>
    <xf numFmtId="14" fontId="3" fillId="3" borderId="0" xfId="0" applyNumberFormat="1" applyFont="1" applyFill="1"/>
    <xf numFmtId="0" fontId="3" fillId="0" borderId="0" xfId="0" applyFont="1"/>
    <xf numFmtId="0" fontId="4" fillId="3" borderId="0" xfId="0" applyFont="1" applyFill="1"/>
    <xf numFmtId="0" fontId="4" fillId="3" borderId="3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/>
    </xf>
    <xf numFmtId="0" fontId="4" fillId="3" borderId="19" xfId="1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14" fontId="3" fillId="0" borderId="22" xfId="0" applyNumberFormat="1" applyFont="1" applyBorder="1"/>
    <xf numFmtId="0" fontId="3" fillId="0" borderId="2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0" fontId="0" fillId="2" borderId="0" xfId="0" applyFill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14" fontId="4" fillId="0" borderId="33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4" fontId="3" fillId="0" borderId="38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3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0" fontId="4" fillId="3" borderId="0" xfId="0" applyFont="1" applyFill="1" applyAlignment="1">
      <alignment horizontal="center"/>
    </xf>
    <xf numFmtId="0" fontId="13" fillId="2" borderId="25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ill>
        <patternFill>
          <bgColor theme="9" tint="0.39994506668294322"/>
        </patternFill>
      </fill>
    </dxf>
    <dxf>
      <fill>
        <gradientFill degree="90">
          <stop position="0">
            <color theme="0"/>
          </stop>
          <stop position="0.5">
            <color rgb="FF7030A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rgb="FF92D050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ont>
        <color theme="0"/>
      </font>
    </dxf>
    <dxf>
      <font>
        <color theme="0"/>
      </font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's Preformance</a:t>
            </a:r>
          </a:p>
        </c:rich>
      </c:tx>
      <c:layout>
        <c:manualLayout>
          <c:xMode val="edge"/>
          <c:yMode val="edge"/>
          <c:x val="4.5542221408587671E-2"/>
          <c:y val="2.10387893982392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7859989020079"/>
          <c:y val="0.1616344208464135"/>
          <c:w val="0.681993699008416"/>
          <c:h val="0.8833671275542796"/>
        </c:manualLayout>
      </c:layout>
      <c:radarChart>
        <c:radarStyle val="fill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'Report Card'!$D$20:$D$25</c:f>
              <c:strCache>
                <c:ptCount val="6"/>
                <c:pt idx="0">
                  <c:v>English</c:v>
                </c:pt>
                <c:pt idx="1">
                  <c:v>Hindi</c:v>
                </c:pt>
                <c:pt idx="2">
                  <c:v>Marathi</c:v>
                </c:pt>
                <c:pt idx="3">
                  <c:v>Science</c:v>
                </c:pt>
                <c:pt idx="4">
                  <c:v>Maths</c:v>
                </c:pt>
                <c:pt idx="5">
                  <c:v>SST</c:v>
                </c:pt>
              </c:strCache>
            </c:strRef>
          </c:cat>
          <c:val>
            <c:numRef>
              <c:f>'Report Card'!$E$20:$E$25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6257-C54B-9E03-6E3531AB3FA7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'Report Card'!$D$20:$D$25</c:f>
              <c:strCache>
                <c:ptCount val="6"/>
                <c:pt idx="0">
                  <c:v>English</c:v>
                </c:pt>
                <c:pt idx="1">
                  <c:v>Hindi</c:v>
                </c:pt>
                <c:pt idx="2">
                  <c:v>Marathi</c:v>
                </c:pt>
                <c:pt idx="3">
                  <c:v>Science</c:v>
                </c:pt>
                <c:pt idx="4">
                  <c:v>Maths</c:v>
                </c:pt>
                <c:pt idx="5">
                  <c:v>SST</c:v>
                </c:pt>
              </c:strCache>
            </c:strRef>
          </c:cat>
          <c:val>
            <c:numRef>
              <c:f>'Report Card'!$F$20:$F$25</c:f>
              <c:numCache>
                <c:formatCode>General</c:formatCode>
                <c:ptCount val="6"/>
                <c:pt idx="0">
                  <c:v>89</c:v>
                </c:pt>
                <c:pt idx="1">
                  <c:v>71</c:v>
                </c:pt>
                <c:pt idx="2">
                  <c:v>67</c:v>
                </c:pt>
                <c:pt idx="3">
                  <c:v>48</c:v>
                </c:pt>
                <c:pt idx="4">
                  <c:v>73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57-C54B-9E03-6E3531AB3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595023"/>
        <c:axId val="1616061263"/>
      </c:radarChart>
      <c:catAx>
        <c:axId val="1613595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6061263"/>
        <c:crosses val="autoZero"/>
        <c:auto val="1"/>
        <c:lblAlgn val="ctr"/>
        <c:lblOffset val="100"/>
        <c:noMultiLvlLbl val="0"/>
      </c:catAx>
      <c:valAx>
        <c:axId val="16160612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1359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English</a:t>
            </a:r>
            <a:endParaRPr lang="en-US"/>
          </a:p>
        </c:rich>
      </c:tx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'Datasheet '!$H$3:$H$139</c:f>
              <c:numCache>
                <c:formatCode>General</c:formatCode>
                <c:ptCount val="137"/>
                <c:pt idx="0">
                  <c:v>89</c:v>
                </c:pt>
                <c:pt idx="1">
                  <c:v>57</c:v>
                </c:pt>
                <c:pt idx="2">
                  <c:v>82</c:v>
                </c:pt>
                <c:pt idx="3">
                  <c:v>68</c:v>
                </c:pt>
                <c:pt idx="4">
                  <c:v>64</c:v>
                </c:pt>
                <c:pt idx="5">
                  <c:v>78</c:v>
                </c:pt>
                <c:pt idx="6">
                  <c:v>84</c:v>
                </c:pt>
                <c:pt idx="7">
                  <c:v>55</c:v>
                </c:pt>
                <c:pt idx="8">
                  <c:v>77</c:v>
                </c:pt>
                <c:pt idx="9">
                  <c:v>71</c:v>
                </c:pt>
                <c:pt idx="10">
                  <c:v>77</c:v>
                </c:pt>
                <c:pt idx="11">
                  <c:v>83</c:v>
                </c:pt>
                <c:pt idx="12">
                  <c:v>79</c:v>
                </c:pt>
                <c:pt idx="13">
                  <c:v>52</c:v>
                </c:pt>
                <c:pt idx="14">
                  <c:v>79</c:v>
                </c:pt>
                <c:pt idx="15">
                  <c:v>54</c:v>
                </c:pt>
                <c:pt idx="16">
                  <c:v>84</c:v>
                </c:pt>
                <c:pt idx="17">
                  <c:v>66</c:v>
                </c:pt>
                <c:pt idx="18">
                  <c:v>85</c:v>
                </c:pt>
                <c:pt idx="19">
                  <c:v>59</c:v>
                </c:pt>
                <c:pt idx="20">
                  <c:v>55</c:v>
                </c:pt>
                <c:pt idx="21">
                  <c:v>69</c:v>
                </c:pt>
                <c:pt idx="22">
                  <c:v>77</c:v>
                </c:pt>
                <c:pt idx="23">
                  <c:v>81</c:v>
                </c:pt>
                <c:pt idx="24">
                  <c:v>66</c:v>
                </c:pt>
                <c:pt idx="25">
                  <c:v>83</c:v>
                </c:pt>
                <c:pt idx="26">
                  <c:v>81</c:v>
                </c:pt>
                <c:pt idx="27">
                  <c:v>65</c:v>
                </c:pt>
                <c:pt idx="28">
                  <c:v>59</c:v>
                </c:pt>
                <c:pt idx="29">
                  <c:v>62</c:v>
                </c:pt>
                <c:pt idx="30">
                  <c:v>83</c:v>
                </c:pt>
                <c:pt idx="31">
                  <c:v>79</c:v>
                </c:pt>
                <c:pt idx="32">
                  <c:v>85</c:v>
                </c:pt>
                <c:pt idx="33">
                  <c:v>62</c:v>
                </c:pt>
                <c:pt idx="34">
                  <c:v>60</c:v>
                </c:pt>
                <c:pt idx="35">
                  <c:v>77</c:v>
                </c:pt>
                <c:pt idx="36">
                  <c:v>73</c:v>
                </c:pt>
                <c:pt idx="37">
                  <c:v>74</c:v>
                </c:pt>
                <c:pt idx="38">
                  <c:v>77</c:v>
                </c:pt>
                <c:pt idx="39">
                  <c:v>73</c:v>
                </c:pt>
                <c:pt idx="40">
                  <c:v>82</c:v>
                </c:pt>
                <c:pt idx="41">
                  <c:v>87</c:v>
                </c:pt>
                <c:pt idx="42">
                  <c:v>57</c:v>
                </c:pt>
                <c:pt idx="43">
                  <c:v>93</c:v>
                </c:pt>
                <c:pt idx="44">
                  <c:v>69</c:v>
                </c:pt>
                <c:pt idx="45">
                  <c:v>77</c:v>
                </c:pt>
                <c:pt idx="46">
                  <c:v>78</c:v>
                </c:pt>
                <c:pt idx="47">
                  <c:v>74</c:v>
                </c:pt>
                <c:pt idx="48">
                  <c:v>85</c:v>
                </c:pt>
                <c:pt idx="49">
                  <c:v>75</c:v>
                </c:pt>
                <c:pt idx="50">
                  <c:v>58</c:v>
                </c:pt>
                <c:pt idx="51">
                  <c:v>81</c:v>
                </c:pt>
                <c:pt idx="52">
                  <c:v>85</c:v>
                </c:pt>
                <c:pt idx="53">
                  <c:v>84</c:v>
                </c:pt>
                <c:pt idx="54">
                  <c:v>80</c:v>
                </c:pt>
                <c:pt idx="55">
                  <c:v>75</c:v>
                </c:pt>
                <c:pt idx="56">
                  <c:v>79</c:v>
                </c:pt>
                <c:pt idx="57">
                  <c:v>76</c:v>
                </c:pt>
                <c:pt idx="58">
                  <c:v>67</c:v>
                </c:pt>
                <c:pt idx="59">
                  <c:v>96</c:v>
                </c:pt>
                <c:pt idx="60">
                  <c:v>82</c:v>
                </c:pt>
                <c:pt idx="61">
                  <c:v>80</c:v>
                </c:pt>
                <c:pt idx="62">
                  <c:v>92</c:v>
                </c:pt>
                <c:pt idx="63">
                  <c:v>69</c:v>
                </c:pt>
                <c:pt idx="64">
                  <c:v>53</c:v>
                </c:pt>
                <c:pt idx="65">
                  <c:v>50</c:v>
                </c:pt>
                <c:pt idx="66">
                  <c:v>38</c:v>
                </c:pt>
                <c:pt idx="67">
                  <c:v>82</c:v>
                </c:pt>
                <c:pt idx="68">
                  <c:v>87</c:v>
                </c:pt>
                <c:pt idx="69">
                  <c:v>45</c:v>
                </c:pt>
                <c:pt idx="70">
                  <c:v>78</c:v>
                </c:pt>
                <c:pt idx="71">
                  <c:v>45</c:v>
                </c:pt>
                <c:pt idx="72">
                  <c:v>81</c:v>
                </c:pt>
                <c:pt idx="73">
                  <c:v>81</c:v>
                </c:pt>
                <c:pt idx="74">
                  <c:v>96</c:v>
                </c:pt>
                <c:pt idx="75">
                  <c:v>91</c:v>
                </c:pt>
                <c:pt idx="76">
                  <c:v>78</c:v>
                </c:pt>
                <c:pt idx="77">
                  <c:v>53</c:v>
                </c:pt>
                <c:pt idx="78">
                  <c:v>98</c:v>
                </c:pt>
                <c:pt idx="79">
                  <c:v>83</c:v>
                </c:pt>
                <c:pt idx="80">
                  <c:v>63</c:v>
                </c:pt>
                <c:pt idx="81">
                  <c:v>44</c:v>
                </c:pt>
                <c:pt idx="82">
                  <c:v>91</c:v>
                </c:pt>
                <c:pt idx="83">
                  <c:v>92</c:v>
                </c:pt>
                <c:pt idx="84">
                  <c:v>59</c:v>
                </c:pt>
                <c:pt idx="85">
                  <c:v>49</c:v>
                </c:pt>
                <c:pt idx="86">
                  <c:v>55</c:v>
                </c:pt>
                <c:pt idx="87">
                  <c:v>50</c:v>
                </c:pt>
                <c:pt idx="88">
                  <c:v>87</c:v>
                </c:pt>
                <c:pt idx="89">
                  <c:v>66</c:v>
                </c:pt>
                <c:pt idx="90">
                  <c:v>84</c:v>
                </c:pt>
                <c:pt idx="91">
                  <c:v>56</c:v>
                </c:pt>
                <c:pt idx="92">
                  <c:v>77</c:v>
                </c:pt>
                <c:pt idx="93">
                  <c:v>72</c:v>
                </c:pt>
                <c:pt idx="94">
                  <c:v>77</c:v>
                </c:pt>
                <c:pt idx="95">
                  <c:v>66</c:v>
                </c:pt>
                <c:pt idx="96">
                  <c:v>83</c:v>
                </c:pt>
                <c:pt idx="97">
                  <c:v>77</c:v>
                </c:pt>
                <c:pt idx="98">
                  <c:v>83</c:v>
                </c:pt>
                <c:pt idx="99">
                  <c:v>51</c:v>
                </c:pt>
                <c:pt idx="100">
                  <c:v>91</c:v>
                </c:pt>
                <c:pt idx="101">
                  <c:v>76</c:v>
                </c:pt>
                <c:pt idx="102">
                  <c:v>88</c:v>
                </c:pt>
                <c:pt idx="103">
                  <c:v>71</c:v>
                </c:pt>
                <c:pt idx="104">
                  <c:v>88</c:v>
                </c:pt>
                <c:pt idx="105">
                  <c:v>48</c:v>
                </c:pt>
                <c:pt idx="106">
                  <c:v>50</c:v>
                </c:pt>
                <c:pt idx="107">
                  <c:v>82</c:v>
                </c:pt>
                <c:pt idx="108">
                  <c:v>46</c:v>
                </c:pt>
                <c:pt idx="109">
                  <c:v>83</c:v>
                </c:pt>
                <c:pt idx="110">
                  <c:v>49</c:v>
                </c:pt>
                <c:pt idx="111">
                  <c:v>40</c:v>
                </c:pt>
                <c:pt idx="112">
                  <c:v>86</c:v>
                </c:pt>
                <c:pt idx="113">
                  <c:v>43</c:v>
                </c:pt>
                <c:pt idx="114">
                  <c:v>40</c:v>
                </c:pt>
                <c:pt idx="115">
                  <c:v>40</c:v>
                </c:pt>
                <c:pt idx="116">
                  <c:v>56</c:v>
                </c:pt>
                <c:pt idx="117">
                  <c:v>37</c:v>
                </c:pt>
                <c:pt idx="118">
                  <c:v>42</c:v>
                </c:pt>
                <c:pt idx="119">
                  <c:v>56</c:v>
                </c:pt>
                <c:pt idx="120">
                  <c:v>84</c:v>
                </c:pt>
                <c:pt idx="121">
                  <c:v>78</c:v>
                </c:pt>
                <c:pt idx="122">
                  <c:v>48</c:v>
                </c:pt>
                <c:pt idx="123">
                  <c:v>44</c:v>
                </c:pt>
                <c:pt idx="124">
                  <c:v>84</c:v>
                </c:pt>
                <c:pt idx="125">
                  <c:v>56</c:v>
                </c:pt>
                <c:pt idx="126">
                  <c:v>86</c:v>
                </c:pt>
                <c:pt idx="127">
                  <c:v>71</c:v>
                </c:pt>
                <c:pt idx="128">
                  <c:v>94</c:v>
                </c:pt>
                <c:pt idx="129">
                  <c:v>61</c:v>
                </c:pt>
                <c:pt idx="130">
                  <c:v>51</c:v>
                </c:pt>
                <c:pt idx="131">
                  <c:v>44</c:v>
                </c:pt>
                <c:pt idx="132">
                  <c:v>70</c:v>
                </c:pt>
                <c:pt idx="133">
                  <c:v>67</c:v>
                </c:pt>
                <c:pt idx="134">
                  <c:v>77</c:v>
                </c:pt>
                <c:pt idx="135">
                  <c:v>69</c:v>
                </c:pt>
                <c:pt idx="136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1-41AF-BF46-FD9D5022D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299008"/>
        <c:axId val="806299488"/>
      </c:lineChart>
      <c:catAx>
        <c:axId val="806299008"/>
        <c:scaling>
          <c:orientation val="minMax"/>
        </c:scaling>
        <c:delete val="1"/>
        <c:axPos val="b"/>
        <c:majorTickMark val="none"/>
        <c:minorTickMark val="none"/>
        <c:tickLblPos val="nextTo"/>
        <c:crossAx val="806299488"/>
        <c:crosses val="autoZero"/>
        <c:auto val="1"/>
        <c:lblAlgn val="ctr"/>
        <c:lblOffset val="100"/>
        <c:noMultiLvlLbl val="0"/>
      </c:catAx>
      <c:valAx>
        <c:axId val="806299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29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'Datasheet '!$I$1</c:f>
              <c:strCache>
                <c:ptCount val="1"/>
                <c:pt idx="0">
                  <c:v>Hindi</c:v>
                </c:pt>
              </c:strCache>
            </c:strRef>
          </c:tx>
          <c:spPr>
            <a:ln w="34925" cap="rnd">
              <a:gradFill flip="none" rotWithShape="1">
                <a:gsLst>
                  <a:gs pos="0">
                    <a:schemeClr val="accent2">
                      <a:lumMod val="0"/>
                      <a:lumOff val="100000"/>
                    </a:schemeClr>
                  </a:gs>
                  <a:gs pos="35000">
                    <a:schemeClr val="accent2">
                      <a:lumMod val="0"/>
                      <a:lumOff val="100000"/>
                    </a:schemeClr>
                  </a:gs>
                  <a:gs pos="100000">
                    <a:schemeClr val="accent2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'Datasheet '!$I$2:$I$139</c:f>
              <c:numCache>
                <c:formatCode>General</c:formatCode>
                <c:ptCount val="138"/>
                <c:pt idx="1">
                  <c:v>71</c:v>
                </c:pt>
                <c:pt idx="2">
                  <c:v>64</c:v>
                </c:pt>
                <c:pt idx="3">
                  <c:v>89</c:v>
                </c:pt>
                <c:pt idx="4">
                  <c:v>48</c:v>
                </c:pt>
                <c:pt idx="5">
                  <c:v>85</c:v>
                </c:pt>
                <c:pt idx="6">
                  <c:v>73</c:v>
                </c:pt>
                <c:pt idx="7">
                  <c:v>87</c:v>
                </c:pt>
                <c:pt idx="8">
                  <c:v>93</c:v>
                </c:pt>
                <c:pt idx="9">
                  <c:v>75</c:v>
                </c:pt>
                <c:pt idx="10">
                  <c:v>86</c:v>
                </c:pt>
                <c:pt idx="11">
                  <c:v>87</c:v>
                </c:pt>
                <c:pt idx="12">
                  <c:v>77</c:v>
                </c:pt>
                <c:pt idx="13">
                  <c:v>69</c:v>
                </c:pt>
                <c:pt idx="14">
                  <c:v>40</c:v>
                </c:pt>
                <c:pt idx="15">
                  <c:v>75</c:v>
                </c:pt>
                <c:pt idx="16">
                  <c:v>51</c:v>
                </c:pt>
                <c:pt idx="17">
                  <c:v>78</c:v>
                </c:pt>
                <c:pt idx="18">
                  <c:v>52</c:v>
                </c:pt>
                <c:pt idx="19">
                  <c:v>84</c:v>
                </c:pt>
                <c:pt idx="20">
                  <c:v>43</c:v>
                </c:pt>
                <c:pt idx="21">
                  <c:v>43</c:v>
                </c:pt>
                <c:pt idx="22">
                  <c:v>64</c:v>
                </c:pt>
                <c:pt idx="23">
                  <c:v>68</c:v>
                </c:pt>
                <c:pt idx="24">
                  <c:v>75</c:v>
                </c:pt>
                <c:pt idx="25">
                  <c:v>48</c:v>
                </c:pt>
                <c:pt idx="26">
                  <c:v>79</c:v>
                </c:pt>
                <c:pt idx="27">
                  <c:v>78</c:v>
                </c:pt>
                <c:pt idx="28">
                  <c:v>50</c:v>
                </c:pt>
                <c:pt idx="29">
                  <c:v>39</c:v>
                </c:pt>
                <c:pt idx="30">
                  <c:v>35</c:v>
                </c:pt>
                <c:pt idx="31">
                  <c:v>70</c:v>
                </c:pt>
                <c:pt idx="32">
                  <c:v>69</c:v>
                </c:pt>
                <c:pt idx="33">
                  <c:v>72</c:v>
                </c:pt>
                <c:pt idx="34">
                  <c:v>59</c:v>
                </c:pt>
                <c:pt idx="35">
                  <c:v>54</c:v>
                </c:pt>
                <c:pt idx="36">
                  <c:v>56</c:v>
                </c:pt>
                <c:pt idx="37">
                  <c:v>59</c:v>
                </c:pt>
                <c:pt idx="38">
                  <c:v>78</c:v>
                </c:pt>
                <c:pt idx="39">
                  <c:v>71</c:v>
                </c:pt>
                <c:pt idx="40">
                  <c:v>55</c:v>
                </c:pt>
                <c:pt idx="41">
                  <c:v>73</c:v>
                </c:pt>
                <c:pt idx="42">
                  <c:v>78</c:v>
                </c:pt>
                <c:pt idx="43">
                  <c:v>48</c:v>
                </c:pt>
                <c:pt idx="44">
                  <c:v>88</c:v>
                </c:pt>
                <c:pt idx="45">
                  <c:v>39</c:v>
                </c:pt>
                <c:pt idx="46">
                  <c:v>68</c:v>
                </c:pt>
                <c:pt idx="47">
                  <c:v>74</c:v>
                </c:pt>
                <c:pt idx="48">
                  <c:v>74</c:v>
                </c:pt>
                <c:pt idx="49">
                  <c:v>71</c:v>
                </c:pt>
                <c:pt idx="50">
                  <c:v>55</c:v>
                </c:pt>
                <c:pt idx="51">
                  <c:v>35</c:v>
                </c:pt>
                <c:pt idx="52">
                  <c:v>80</c:v>
                </c:pt>
                <c:pt idx="53">
                  <c:v>83</c:v>
                </c:pt>
                <c:pt idx="54">
                  <c:v>82</c:v>
                </c:pt>
                <c:pt idx="55">
                  <c:v>61</c:v>
                </c:pt>
                <c:pt idx="56">
                  <c:v>68</c:v>
                </c:pt>
                <c:pt idx="57">
                  <c:v>74</c:v>
                </c:pt>
                <c:pt idx="58">
                  <c:v>45</c:v>
                </c:pt>
                <c:pt idx="59">
                  <c:v>56</c:v>
                </c:pt>
                <c:pt idx="60">
                  <c:v>75</c:v>
                </c:pt>
                <c:pt idx="61">
                  <c:v>50</c:v>
                </c:pt>
                <c:pt idx="62">
                  <c:v>52</c:v>
                </c:pt>
                <c:pt idx="63">
                  <c:v>84</c:v>
                </c:pt>
                <c:pt idx="64">
                  <c:v>82</c:v>
                </c:pt>
                <c:pt idx="65">
                  <c:v>52</c:v>
                </c:pt>
                <c:pt idx="66">
                  <c:v>74</c:v>
                </c:pt>
                <c:pt idx="67">
                  <c:v>64</c:v>
                </c:pt>
                <c:pt idx="68">
                  <c:v>67</c:v>
                </c:pt>
                <c:pt idx="69">
                  <c:v>44</c:v>
                </c:pt>
                <c:pt idx="70">
                  <c:v>48</c:v>
                </c:pt>
                <c:pt idx="71">
                  <c:v>76</c:v>
                </c:pt>
                <c:pt idx="72">
                  <c:v>67</c:v>
                </c:pt>
                <c:pt idx="73">
                  <c:v>92</c:v>
                </c:pt>
                <c:pt idx="74">
                  <c:v>51</c:v>
                </c:pt>
                <c:pt idx="75">
                  <c:v>64</c:v>
                </c:pt>
                <c:pt idx="76">
                  <c:v>38</c:v>
                </c:pt>
                <c:pt idx="77">
                  <c:v>38</c:v>
                </c:pt>
                <c:pt idx="78">
                  <c:v>80</c:v>
                </c:pt>
                <c:pt idx="79">
                  <c:v>45</c:v>
                </c:pt>
                <c:pt idx="80">
                  <c:v>86</c:v>
                </c:pt>
                <c:pt idx="81">
                  <c:v>46</c:v>
                </c:pt>
                <c:pt idx="82">
                  <c:v>72</c:v>
                </c:pt>
                <c:pt idx="83">
                  <c:v>56</c:v>
                </c:pt>
                <c:pt idx="84">
                  <c:v>71</c:v>
                </c:pt>
                <c:pt idx="85">
                  <c:v>60</c:v>
                </c:pt>
                <c:pt idx="86">
                  <c:v>83</c:v>
                </c:pt>
                <c:pt idx="87">
                  <c:v>96</c:v>
                </c:pt>
                <c:pt idx="88">
                  <c:v>93</c:v>
                </c:pt>
                <c:pt idx="89">
                  <c:v>56</c:v>
                </c:pt>
                <c:pt idx="90">
                  <c:v>88</c:v>
                </c:pt>
                <c:pt idx="91">
                  <c:v>81</c:v>
                </c:pt>
                <c:pt idx="92">
                  <c:v>79</c:v>
                </c:pt>
                <c:pt idx="93">
                  <c:v>35</c:v>
                </c:pt>
                <c:pt idx="94">
                  <c:v>43</c:v>
                </c:pt>
                <c:pt idx="95">
                  <c:v>62</c:v>
                </c:pt>
                <c:pt idx="96">
                  <c:v>54</c:v>
                </c:pt>
                <c:pt idx="97">
                  <c:v>52</c:v>
                </c:pt>
                <c:pt idx="98">
                  <c:v>77</c:v>
                </c:pt>
                <c:pt idx="99">
                  <c:v>47</c:v>
                </c:pt>
                <c:pt idx="100">
                  <c:v>71</c:v>
                </c:pt>
                <c:pt idx="101">
                  <c:v>91</c:v>
                </c:pt>
                <c:pt idx="102">
                  <c:v>35</c:v>
                </c:pt>
                <c:pt idx="103">
                  <c:v>80</c:v>
                </c:pt>
                <c:pt idx="104">
                  <c:v>66</c:v>
                </c:pt>
                <c:pt idx="105">
                  <c:v>36</c:v>
                </c:pt>
                <c:pt idx="106">
                  <c:v>68</c:v>
                </c:pt>
                <c:pt idx="107">
                  <c:v>96</c:v>
                </c:pt>
                <c:pt idx="108">
                  <c:v>79</c:v>
                </c:pt>
                <c:pt idx="109">
                  <c:v>67</c:v>
                </c:pt>
                <c:pt idx="110">
                  <c:v>85</c:v>
                </c:pt>
                <c:pt idx="111">
                  <c:v>63</c:v>
                </c:pt>
                <c:pt idx="112">
                  <c:v>43</c:v>
                </c:pt>
                <c:pt idx="113">
                  <c:v>86</c:v>
                </c:pt>
                <c:pt idx="114">
                  <c:v>55</c:v>
                </c:pt>
                <c:pt idx="115">
                  <c:v>77</c:v>
                </c:pt>
                <c:pt idx="116">
                  <c:v>57</c:v>
                </c:pt>
                <c:pt idx="117">
                  <c:v>61</c:v>
                </c:pt>
                <c:pt idx="118">
                  <c:v>36</c:v>
                </c:pt>
                <c:pt idx="119">
                  <c:v>77</c:v>
                </c:pt>
                <c:pt idx="120">
                  <c:v>93</c:v>
                </c:pt>
                <c:pt idx="121">
                  <c:v>98</c:v>
                </c:pt>
                <c:pt idx="122">
                  <c:v>69</c:v>
                </c:pt>
                <c:pt idx="123">
                  <c:v>76</c:v>
                </c:pt>
                <c:pt idx="124">
                  <c:v>66</c:v>
                </c:pt>
                <c:pt idx="125">
                  <c:v>65</c:v>
                </c:pt>
                <c:pt idx="126">
                  <c:v>87</c:v>
                </c:pt>
                <c:pt idx="127">
                  <c:v>68</c:v>
                </c:pt>
                <c:pt idx="128">
                  <c:v>96</c:v>
                </c:pt>
                <c:pt idx="129">
                  <c:v>47</c:v>
                </c:pt>
                <c:pt idx="130">
                  <c:v>73</c:v>
                </c:pt>
                <c:pt idx="131">
                  <c:v>50</c:v>
                </c:pt>
                <c:pt idx="132">
                  <c:v>88</c:v>
                </c:pt>
                <c:pt idx="133">
                  <c:v>56</c:v>
                </c:pt>
                <c:pt idx="134">
                  <c:v>71</c:v>
                </c:pt>
                <c:pt idx="135">
                  <c:v>47</c:v>
                </c:pt>
                <c:pt idx="136">
                  <c:v>91</c:v>
                </c:pt>
                <c:pt idx="137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0-4D24-968D-93591D2BC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830480"/>
        <c:axId val="342826160"/>
      </c:lineChart>
      <c:catAx>
        <c:axId val="342830480"/>
        <c:scaling>
          <c:orientation val="minMax"/>
        </c:scaling>
        <c:delete val="1"/>
        <c:axPos val="b"/>
        <c:majorTickMark val="none"/>
        <c:minorTickMark val="none"/>
        <c:tickLblPos val="nextTo"/>
        <c:crossAx val="342826160"/>
        <c:crosses val="autoZero"/>
        <c:auto val="1"/>
        <c:lblAlgn val="ctr"/>
        <c:lblOffset val="100"/>
        <c:noMultiLvlLbl val="0"/>
      </c:catAx>
      <c:valAx>
        <c:axId val="3428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83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  <a:effectLst/>
  </c:spPr>
  <c:txPr>
    <a:bodyPr/>
    <a:lstStyle/>
    <a:p>
      <a:pPr>
        <a:defR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Marathi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gradFill flip="none" rotWithShape="1">
                <a:gsLst>
                  <a:gs pos="0">
                    <a:schemeClr val="accent6">
                      <a:lumMod val="67000"/>
                    </a:schemeClr>
                  </a:gs>
                  <a:gs pos="48000">
                    <a:schemeClr val="accent6">
                      <a:lumMod val="97000"/>
                      <a:lumOff val="3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'Datasheet '!$J$3:$J$139</c:f>
              <c:numCache>
                <c:formatCode>General</c:formatCode>
                <c:ptCount val="137"/>
                <c:pt idx="0">
                  <c:v>67</c:v>
                </c:pt>
                <c:pt idx="1">
                  <c:v>36</c:v>
                </c:pt>
                <c:pt idx="2">
                  <c:v>85</c:v>
                </c:pt>
                <c:pt idx="3">
                  <c:v>91</c:v>
                </c:pt>
                <c:pt idx="4">
                  <c:v>60</c:v>
                </c:pt>
                <c:pt idx="5">
                  <c:v>43</c:v>
                </c:pt>
                <c:pt idx="6">
                  <c:v>46</c:v>
                </c:pt>
                <c:pt idx="7">
                  <c:v>44</c:v>
                </c:pt>
                <c:pt idx="8">
                  <c:v>86</c:v>
                </c:pt>
                <c:pt idx="9">
                  <c:v>57</c:v>
                </c:pt>
                <c:pt idx="10">
                  <c:v>82</c:v>
                </c:pt>
                <c:pt idx="11">
                  <c:v>68</c:v>
                </c:pt>
                <c:pt idx="12">
                  <c:v>78</c:v>
                </c:pt>
                <c:pt idx="13">
                  <c:v>75</c:v>
                </c:pt>
                <c:pt idx="14">
                  <c:v>41</c:v>
                </c:pt>
                <c:pt idx="15">
                  <c:v>73</c:v>
                </c:pt>
                <c:pt idx="16">
                  <c:v>47</c:v>
                </c:pt>
                <c:pt idx="17">
                  <c:v>73</c:v>
                </c:pt>
                <c:pt idx="18">
                  <c:v>51</c:v>
                </c:pt>
                <c:pt idx="19">
                  <c:v>82</c:v>
                </c:pt>
                <c:pt idx="20">
                  <c:v>40</c:v>
                </c:pt>
                <c:pt idx="21">
                  <c:v>53</c:v>
                </c:pt>
                <c:pt idx="22">
                  <c:v>62</c:v>
                </c:pt>
                <c:pt idx="23">
                  <c:v>69</c:v>
                </c:pt>
                <c:pt idx="24">
                  <c:v>77</c:v>
                </c:pt>
                <c:pt idx="25">
                  <c:v>45</c:v>
                </c:pt>
                <c:pt idx="26">
                  <c:v>76</c:v>
                </c:pt>
                <c:pt idx="27">
                  <c:v>75</c:v>
                </c:pt>
                <c:pt idx="28">
                  <c:v>39</c:v>
                </c:pt>
                <c:pt idx="29">
                  <c:v>42</c:v>
                </c:pt>
                <c:pt idx="30">
                  <c:v>35</c:v>
                </c:pt>
                <c:pt idx="31">
                  <c:v>82</c:v>
                </c:pt>
                <c:pt idx="32">
                  <c:v>73</c:v>
                </c:pt>
                <c:pt idx="33">
                  <c:v>72</c:v>
                </c:pt>
                <c:pt idx="34">
                  <c:v>52</c:v>
                </c:pt>
                <c:pt idx="35">
                  <c:v>42</c:v>
                </c:pt>
                <c:pt idx="36">
                  <c:v>60</c:v>
                </c:pt>
                <c:pt idx="37">
                  <c:v>53</c:v>
                </c:pt>
                <c:pt idx="38">
                  <c:v>73</c:v>
                </c:pt>
                <c:pt idx="39">
                  <c:v>58</c:v>
                </c:pt>
                <c:pt idx="40">
                  <c:v>60</c:v>
                </c:pt>
                <c:pt idx="41">
                  <c:v>60</c:v>
                </c:pt>
                <c:pt idx="42">
                  <c:v>67</c:v>
                </c:pt>
                <c:pt idx="43">
                  <c:v>46</c:v>
                </c:pt>
                <c:pt idx="44">
                  <c:v>86</c:v>
                </c:pt>
                <c:pt idx="45">
                  <c:v>35</c:v>
                </c:pt>
                <c:pt idx="46">
                  <c:v>64</c:v>
                </c:pt>
                <c:pt idx="47">
                  <c:v>67</c:v>
                </c:pt>
                <c:pt idx="48">
                  <c:v>80</c:v>
                </c:pt>
                <c:pt idx="49">
                  <c:v>82</c:v>
                </c:pt>
                <c:pt idx="50">
                  <c:v>46</c:v>
                </c:pt>
                <c:pt idx="51">
                  <c:v>39</c:v>
                </c:pt>
                <c:pt idx="52">
                  <c:v>71</c:v>
                </c:pt>
                <c:pt idx="53">
                  <c:v>83</c:v>
                </c:pt>
                <c:pt idx="54">
                  <c:v>77</c:v>
                </c:pt>
                <c:pt idx="55">
                  <c:v>51</c:v>
                </c:pt>
                <c:pt idx="56">
                  <c:v>60</c:v>
                </c:pt>
                <c:pt idx="57">
                  <c:v>59</c:v>
                </c:pt>
                <c:pt idx="58">
                  <c:v>57</c:v>
                </c:pt>
                <c:pt idx="59">
                  <c:v>88</c:v>
                </c:pt>
                <c:pt idx="60">
                  <c:v>45</c:v>
                </c:pt>
                <c:pt idx="61">
                  <c:v>93</c:v>
                </c:pt>
                <c:pt idx="62">
                  <c:v>56</c:v>
                </c:pt>
                <c:pt idx="63">
                  <c:v>42</c:v>
                </c:pt>
                <c:pt idx="64">
                  <c:v>43</c:v>
                </c:pt>
                <c:pt idx="65">
                  <c:v>61</c:v>
                </c:pt>
                <c:pt idx="66">
                  <c:v>50</c:v>
                </c:pt>
                <c:pt idx="67">
                  <c:v>76</c:v>
                </c:pt>
                <c:pt idx="68">
                  <c:v>97</c:v>
                </c:pt>
                <c:pt idx="69">
                  <c:v>72</c:v>
                </c:pt>
                <c:pt idx="70">
                  <c:v>64</c:v>
                </c:pt>
                <c:pt idx="71">
                  <c:v>58</c:v>
                </c:pt>
                <c:pt idx="72">
                  <c:v>60</c:v>
                </c:pt>
                <c:pt idx="73">
                  <c:v>95</c:v>
                </c:pt>
                <c:pt idx="74">
                  <c:v>75</c:v>
                </c:pt>
                <c:pt idx="75">
                  <c:v>83</c:v>
                </c:pt>
                <c:pt idx="76">
                  <c:v>90</c:v>
                </c:pt>
                <c:pt idx="77">
                  <c:v>76</c:v>
                </c:pt>
                <c:pt idx="78">
                  <c:v>47</c:v>
                </c:pt>
                <c:pt idx="79">
                  <c:v>92</c:v>
                </c:pt>
                <c:pt idx="80">
                  <c:v>86</c:v>
                </c:pt>
                <c:pt idx="81">
                  <c:v>52</c:v>
                </c:pt>
                <c:pt idx="82">
                  <c:v>50</c:v>
                </c:pt>
                <c:pt idx="83">
                  <c:v>44</c:v>
                </c:pt>
                <c:pt idx="84">
                  <c:v>41</c:v>
                </c:pt>
                <c:pt idx="85">
                  <c:v>79</c:v>
                </c:pt>
                <c:pt idx="86">
                  <c:v>95</c:v>
                </c:pt>
                <c:pt idx="87">
                  <c:v>47</c:v>
                </c:pt>
                <c:pt idx="88">
                  <c:v>38</c:v>
                </c:pt>
                <c:pt idx="89">
                  <c:v>91</c:v>
                </c:pt>
                <c:pt idx="90">
                  <c:v>57</c:v>
                </c:pt>
                <c:pt idx="91">
                  <c:v>53</c:v>
                </c:pt>
                <c:pt idx="92">
                  <c:v>63</c:v>
                </c:pt>
                <c:pt idx="93">
                  <c:v>69</c:v>
                </c:pt>
                <c:pt idx="94">
                  <c:v>41</c:v>
                </c:pt>
                <c:pt idx="95">
                  <c:v>69</c:v>
                </c:pt>
                <c:pt idx="96">
                  <c:v>42</c:v>
                </c:pt>
                <c:pt idx="97">
                  <c:v>59</c:v>
                </c:pt>
                <c:pt idx="98">
                  <c:v>38</c:v>
                </c:pt>
                <c:pt idx="99">
                  <c:v>39</c:v>
                </c:pt>
                <c:pt idx="100">
                  <c:v>64</c:v>
                </c:pt>
                <c:pt idx="101">
                  <c:v>40</c:v>
                </c:pt>
                <c:pt idx="102">
                  <c:v>46</c:v>
                </c:pt>
                <c:pt idx="103">
                  <c:v>62</c:v>
                </c:pt>
                <c:pt idx="104">
                  <c:v>98</c:v>
                </c:pt>
                <c:pt idx="105">
                  <c:v>96</c:v>
                </c:pt>
                <c:pt idx="106">
                  <c:v>73</c:v>
                </c:pt>
                <c:pt idx="107">
                  <c:v>69</c:v>
                </c:pt>
                <c:pt idx="108">
                  <c:v>97</c:v>
                </c:pt>
                <c:pt idx="109">
                  <c:v>46</c:v>
                </c:pt>
                <c:pt idx="110">
                  <c:v>53</c:v>
                </c:pt>
                <c:pt idx="111">
                  <c:v>80</c:v>
                </c:pt>
                <c:pt idx="112">
                  <c:v>45</c:v>
                </c:pt>
                <c:pt idx="113">
                  <c:v>41</c:v>
                </c:pt>
                <c:pt idx="114">
                  <c:v>65</c:v>
                </c:pt>
                <c:pt idx="115">
                  <c:v>69</c:v>
                </c:pt>
                <c:pt idx="116">
                  <c:v>55</c:v>
                </c:pt>
                <c:pt idx="117">
                  <c:v>37</c:v>
                </c:pt>
                <c:pt idx="118">
                  <c:v>66</c:v>
                </c:pt>
                <c:pt idx="119">
                  <c:v>96</c:v>
                </c:pt>
                <c:pt idx="120">
                  <c:v>54</c:v>
                </c:pt>
                <c:pt idx="121">
                  <c:v>46</c:v>
                </c:pt>
                <c:pt idx="122">
                  <c:v>84</c:v>
                </c:pt>
                <c:pt idx="123">
                  <c:v>76</c:v>
                </c:pt>
                <c:pt idx="124">
                  <c:v>53</c:v>
                </c:pt>
                <c:pt idx="125">
                  <c:v>84</c:v>
                </c:pt>
                <c:pt idx="126">
                  <c:v>95</c:v>
                </c:pt>
                <c:pt idx="127">
                  <c:v>52</c:v>
                </c:pt>
                <c:pt idx="128">
                  <c:v>95</c:v>
                </c:pt>
                <c:pt idx="129">
                  <c:v>42</c:v>
                </c:pt>
                <c:pt idx="130">
                  <c:v>55</c:v>
                </c:pt>
                <c:pt idx="131">
                  <c:v>71</c:v>
                </c:pt>
                <c:pt idx="132">
                  <c:v>51</c:v>
                </c:pt>
                <c:pt idx="133">
                  <c:v>86</c:v>
                </c:pt>
                <c:pt idx="134">
                  <c:v>72</c:v>
                </c:pt>
                <c:pt idx="135">
                  <c:v>88</c:v>
                </c:pt>
                <c:pt idx="13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9B-4D1D-80C5-B8589686D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077920"/>
        <c:axId val="991078400"/>
      </c:lineChart>
      <c:catAx>
        <c:axId val="991077920"/>
        <c:scaling>
          <c:orientation val="minMax"/>
        </c:scaling>
        <c:delete val="1"/>
        <c:axPos val="b"/>
        <c:majorTickMark val="none"/>
        <c:minorTickMark val="none"/>
        <c:tickLblPos val="nextTo"/>
        <c:crossAx val="991078400"/>
        <c:crosses val="autoZero"/>
        <c:auto val="1"/>
        <c:lblAlgn val="ctr"/>
        <c:lblOffset val="100"/>
        <c:noMultiLvlLbl val="0"/>
      </c:catAx>
      <c:valAx>
        <c:axId val="99107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7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'Datasheet '!$K$1</c:f>
              <c:strCache>
                <c:ptCount val="1"/>
                <c:pt idx="0">
                  <c:v>Science</c:v>
                </c:pt>
              </c:strCache>
            </c:strRef>
          </c:tx>
          <c:spPr>
            <a:ln w="34925" cap="rnd">
              <a:gradFill flip="none" rotWithShape="1"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'Datasheet '!$K$2:$K$139</c:f>
              <c:numCache>
                <c:formatCode>General</c:formatCode>
                <c:ptCount val="138"/>
                <c:pt idx="1">
                  <c:v>48</c:v>
                </c:pt>
                <c:pt idx="2">
                  <c:v>54</c:v>
                </c:pt>
                <c:pt idx="3">
                  <c:v>85</c:v>
                </c:pt>
                <c:pt idx="4">
                  <c:v>67</c:v>
                </c:pt>
                <c:pt idx="5">
                  <c:v>36</c:v>
                </c:pt>
                <c:pt idx="6">
                  <c:v>85</c:v>
                </c:pt>
                <c:pt idx="7">
                  <c:v>91</c:v>
                </c:pt>
                <c:pt idx="8">
                  <c:v>60</c:v>
                </c:pt>
                <c:pt idx="9">
                  <c:v>70</c:v>
                </c:pt>
                <c:pt idx="10">
                  <c:v>90</c:v>
                </c:pt>
                <c:pt idx="11">
                  <c:v>65</c:v>
                </c:pt>
                <c:pt idx="12">
                  <c:v>96</c:v>
                </c:pt>
                <c:pt idx="13">
                  <c:v>75</c:v>
                </c:pt>
                <c:pt idx="14">
                  <c:v>51</c:v>
                </c:pt>
                <c:pt idx="15">
                  <c:v>79</c:v>
                </c:pt>
                <c:pt idx="16">
                  <c:v>43</c:v>
                </c:pt>
                <c:pt idx="17">
                  <c:v>84</c:v>
                </c:pt>
                <c:pt idx="18">
                  <c:v>77</c:v>
                </c:pt>
                <c:pt idx="19">
                  <c:v>76</c:v>
                </c:pt>
                <c:pt idx="20">
                  <c:v>48</c:v>
                </c:pt>
                <c:pt idx="21">
                  <c:v>59</c:v>
                </c:pt>
                <c:pt idx="22">
                  <c:v>76</c:v>
                </c:pt>
                <c:pt idx="23">
                  <c:v>77</c:v>
                </c:pt>
                <c:pt idx="24">
                  <c:v>83</c:v>
                </c:pt>
                <c:pt idx="25">
                  <c:v>39</c:v>
                </c:pt>
                <c:pt idx="26">
                  <c:v>91</c:v>
                </c:pt>
                <c:pt idx="27">
                  <c:v>94</c:v>
                </c:pt>
                <c:pt idx="28">
                  <c:v>75</c:v>
                </c:pt>
                <c:pt idx="29">
                  <c:v>38</c:v>
                </c:pt>
                <c:pt idx="30">
                  <c:v>42</c:v>
                </c:pt>
                <c:pt idx="31">
                  <c:v>64</c:v>
                </c:pt>
                <c:pt idx="32">
                  <c:v>64</c:v>
                </c:pt>
                <c:pt idx="33">
                  <c:v>95</c:v>
                </c:pt>
                <c:pt idx="34">
                  <c:v>52</c:v>
                </c:pt>
                <c:pt idx="35">
                  <c:v>42</c:v>
                </c:pt>
                <c:pt idx="36">
                  <c:v>75</c:v>
                </c:pt>
                <c:pt idx="37">
                  <c:v>66</c:v>
                </c:pt>
                <c:pt idx="38">
                  <c:v>93</c:v>
                </c:pt>
                <c:pt idx="39">
                  <c:v>81</c:v>
                </c:pt>
                <c:pt idx="40">
                  <c:v>45</c:v>
                </c:pt>
                <c:pt idx="41">
                  <c:v>85</c:v>
                </c:pt>
                <c:pt idx="42">
                  <c:v>93</c:v>
                </c:pt>
                <c:pt idx="43">
                  <c:v>62</c:v>
                </c:pt>
                <c:pt idx="44">
                  <c:v>90</c:v>
                </c:pt>
                <c:pt idx="45">
                  <c:v>57</c:v>
                </c:pt>
                <c:pt idx="46">
                  <c:v>70</c:v>
                </c:pt>
                <c:pt idx="47">
                  <c:v>77</c:v>
                </c:pt>
                <c:pt idx="48">
                  <c:v>81</c:v>
                </c:pt>
                <c:pt idx="49">
                  <c:v>86</c:v>
                </c:pt>
                <c:pt idx="50">
                  <c:v>35</c:v>
                </c:pt>
                <c:pt idx="51">
                  <c:v>53</c:v>
                </c:pt>
                <c:pt idx="52">
                  <c:v>77</c:v>
                </c:pt>
                <c:pt idx="53">
                  <c:v>87</c:v>
                </c:pt>
                <c:pt idx="54">
                  <c:v>89</c:v>
                </c:pt>
                <c:pt idx="55">
                  <c:v>59</c:v>
                </c:pt>
                <c:pt idx="56">
                  <c:v>70</c:v>
                </c:pt>
                <c:pt idx="57">
                  <c:v>74</c:v>
                </c:pt>
                <c:pt idx="58">
                  <c:v>75</c:v>
                </c:pt>
                <c:pt idx="59">
                  <c:v>35</c:v>
                </c:pt>
                <c:pt idx="60">
                  <c:v>50</c:v>
                </c:pt>
                <c:pt idx="61">
                  <c:v>57</c:v>
                </c:pt>
                <c:pt idx="62">
                  <c:v>44</c:v>
                </c:pt>
                <c:pt idx="63">
                  <c:v>75</c:v>
                </c:pt>
                <c:pt idx="64">
                  <c:v>76</c:v>
                </c:pt>
                <c:pt idx="65">
                  <c:v>92</c:v>
                </c:pt>
                <c:pt idx="66">
                  <c:v>47</c:v>
                </c:pt>
                <c:pt idx="67">
                  <c:v>45</c:v>
                </c:pt>
                <c:pt idx="68">
                  <c:v>92</c:v>
                </c:pt>
                <c:pt idx="69">
                  <c:v>50</c:v>
                </c:pt>
                <c:pt idx="70">
                  <c:v>49</c:v>
                </c:pt>
                <c:pt idx="71">
                  <c:v>62</c:v>
                </c:pt>
                <c:pt idx="72">
                  <c:v>40</c:v>
                </c:pt>
                <c:pt idx="73">
                  <c:v>82</c:v>
                </c:pt>
                <c:pt idx="74">
                  <c:v>70</c:v>
                </c:pt>
                <c:pt idx="75">
                  <c:v>39</c:v>
                </c:pt>
                <c:pt idx="76">
                  <c:v>78</c:v>
                </c:pt>
                <c:pt idx="77">
                  <c:v>35</c:v>
                </c:pt>
                <c:pt idx="78">
                  <c:v>55</c:v>
                </c:pt>
                <c:pt idx="79">
                  <c:v>82</c:v>
                </c:pt>
                <c:pt idx="80">
                  <c:v>83</c:v>
                </c:pt>
                <c:pt idx="81">
                  <c:v>60</c:v>
                </c:pt>
                <c:pt idx="82">
                  <c:v>51</c:v>
                </c:pt>
                <c:pt idx="83">
                  <c:v>57</c:v>
                </c:pt>
                <c:pt idx="84">
                  <c:v>57</c:v>
                </c:pt>
                <c:pt idx="85">
                  <c:v>45</c:v>
                </c:pt>
                <c:pt idx="86">
                  <c:v>85</c:v>
                </c:pt>
                <c:pt idx="87">
                  <c:v>82</c:v>
                </c:pt>
                <c:pt idx="88">
                  <c:v>48</c:v>
                </c:pt>
                <c:pt idx="89">
                  <c:v>36</c:v>
                </c:pt>
                <c:pt idx="90">
                  <c:v>39</c:v>
                </c:pt>
                <c:pt idx="91">
                  <c:v>35</c:v>
                </c:pt>
                <c:pt idx="92">
                  <c:v>44</c:v>
                </c:pt>
                <c:pt idx="93">
                  <c:v>60</c:v>
                </c:pt>
                <c:pt idx="94">
                  <c:v>70</c:v>
                </c:pt>
                <c:pt idx="95">
                  <c:v>61</c:v>
                </c:pt>
                <c:pt idx="96">
                  <c:v>88</c:v>
                </c:pt>
                <c:pt idx="97">
                  <c:v>40</c:v>
                </c:pt>
                <c:pt idx="98">
                  <c:v>82</c:v>
                </c:pt>
                <c:pt idx="99">
                  <c:v>51</c:v>
                </c:pt>
                <c:pt idx="100">
                  <c:v>80</c:v>
                </c:pt>
                <c:pt idx="101">
                  <c:v>50</c:v>
                </c:pt>
                <c:pt idx="102">
                  <c:v>98</c:v>
                </c:pt>
                <c:pt idx="103">
                  <c:v>93</c:v>
                </c:pt>
                <c:pt idx="104">
                  <c:v>36</c:v>
                </c:pt>
                <c:pt idx="105">
                  <c:v>51</c:v>
                </c:pt>
                <c:pt idx="106">
                  <c:v>93</c:v>
                </c:pt>
                <c:pt idx="107">
                  <c:v>58</c:v>
                </c:pt>
                <c:pt idx="108">
                  <c:v>81</c:v>
                </c:pt>
                <c:pt idx="109">
                  <c:v>52</c:v>
                </c:pt>
                <c:pt idx="110">
                  <c:v>55</c:v>
                </c:pt>
                <c:pt idx="111">
                  <c:v>43</c:v>
                </c:pt>
                <c:pt idx="112">
                  <c:v>64</c:v>
                </c:pt>
                <c:pt idx="113">
                  <c:v>47</c:v>
                </c:pt>
                <c:pt idx="114">
                  <c:v>47</c:v>
                </c:pt>
                <c:pt idx="115">
                  <c:v>77</c:v>
                </c:pt>
                <c:pt idx="116">
                  <c:v>90</c:v>
                </c:pt>
                <c:pt idx="117">
                  <c:v>83</c:v>
                </c:pt>
                <c:pt idx="118">
                  <c:v>81</c:v>
                </c:pt>
                <c:pt idx="119">
                  <c:v>42</c:v>
                </c:pt>
                <c:pt idx="120">
                  <c:v>82</c:v>
                </c:pt>
                <c:pt idx="121">
                  <c:v>68</c:v>
                </c:pt>
                <c:pt idx="122">
                  <c:v>40</c:v>
                </c:pt>
                <c:pt idx="123">
                  <c:v>45</c:v>
                </c:pt>
                <c:pt idx="124">
                  <c:v>76</c:v>
                </c:pt>
                <c:pt idx="125">
                  <c:v>50</c:v>
                </c:pt>
                <c:pt idx="126">
                  <c:v>44</c:v>
                </c:pt>
                <c:pt idx="127">
                  <c:v>61</c:v>
                </c:pt>
                <c:pt idx="128">
                  <c:v>66</c:v>
                </c:pt>
                <c:pt idx="129">
                  <c:v>62</c:v>
                </c:pt>
                <c:pt idx="130">
                  <c:v>91</c:v>
                </c:pt>
                <c:pt idx="131">
                  <c:v>56</c:v>
                </c:pt>
                <c:pt idx="132">
                  <c:v>97</c:v>
                </c:pt>
                <c:pt idx="133">
                  <c:v>87</c:v>
                </c:pt>
                <c:pt idx="134">
                  <c:v>64</c:v>
                </c:pt>
                <c:pt idx="135">
                  <c:v>48</c:v>
                </c:pt>
                <c:pt idx="136">
                  <c:v>61</c:v>
                </c:pt>
                <c:pt idx="137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5-4B24-8AEB-07C954997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495888"/>
        <c:axId val="991081280"/>
      </c:lineChart>
      <c:catAx>
        <c:axId val="772495888"/>
        <c:scaling>
          <c:orientation val="minMax"/>
        </c:scaling>
        <c:delete val="1"/>
        <c:axPos val="b"/>
        <c:majorTickMark val="none"/>
        <c:minorTickMark val="none"/>
        <c:tickLblPos val="nextTo"/>
        <c:crossAx val="991081280"/>
        <c:crosses val="autoZero"/>
        <c:auto val="1"/>
        <c:lblAlgn val="ctr"/>
        <c:lblOffset val="100"/>
        <c:noMultiLvlLbl val="0"/>
      </c:catAx>
      <c:valAx>
        <c:axId val="99108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49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'Datasheet '!$L$1</c:f>
              <c:strCache>
                <c:ptCount val="1"/>
                <c:pt idx="0">
                  <c:v>Maths</c:v>
                </c:pt>
              </c:strCache>
            </c:strRef>
          </c:tx>
          <c:spPr>
            <a:ln w="34925" cap="rnd">
              <a:gradFill flip="none" rotWithShape="1">
                <a:gsLst>
                  <a:gs pos="0">
                    <a:schemeClr val="accent4">
                      <a:lumMod val="5000"/>
                      <a:lumOff val="95000"/>
                    </a:schemeClr>
                  </a:gs>
                  <a:gs pos="74000">
                    <a:schemeClr val="accent4">
                      <a:lumMod val="45000"/>
                      <a:lumOff val="55000"/>
                    </a:schemeClr>
                  </a:gs>
                  <a:gs pos="83000">
                    <a:schemeClr val="accent4">
                      <a:lumMod val="45000"/>
                      <a:lumOff val="55000"/>
                    </a:schemeClr>
                  </a:gs>
                  <a:gs pos="100000">
                    <a:schemeClr val="accent4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'Datasheet '!$L$2:$L$139</c:f>
              <c:numCache>
                <c:formatCode>General</c:formatCode>
                <c:ptCount val="138"/>
                <c:pt idx="1">
                  <c:v>73</c:v>
                </c:pt>
                <c:pt idx="2">
                  <c:v>81</c:v>
                </c:pt>
                <c:pt idx="3">
                  <c:v>75</c:v>
                </c:pt>
                <c:pt idx="4">
                  <c:v>90</c:v>
                </c:pt>
                <c:pt idx="5">
                  <c:v>58</c:v>
                </c:pt>
                <c:pt idx="6">
                  <c:v>98</c:v>
                </c:pt>
                <c:pt idx="7">
                  <c:v>43</c:v>
                </c:pt>
                <c:pt idx="8">
                  <c:v>51</c:v>
                </c:pt>
                <c:pt idx="9">
                  <c:v>86</c:v>
                </c:pt>
                <c:pt idx="10">
                  <c:v>98</c:v>
                </c:pt>
                <c:pt idx="11">
                  <c:v>100</c:v>
                </c:pt>
                <c:pt idx="12">
                  <c:v>93</c:v>
                </c:pt>
                <c:pt idx="13">
                  <c:v>70</c:v>
                </c:pt>
                <c:pt idx="14">
                  <c:v>46</c:v>
                </c:pt>
                <c:pt idx="15">
                  <c:v>68</c:v>
                </c:pt>
                <c:pt idx="16">
                  <c:v>53</c:v>
                </c:pt>
                <c:pt idx="17">
                  <c:v>85</c:v>
                </c:pt>
                <c:pt idx="18">
                  <c:v>60</c:v>
                </c:pt>
                <c:pt idx="19">
                  <c:v>82</c:v>
                </c:pt>
                <c:pt idx="20">
                  <c:v>47</c:v>
                </c:pt>
                <c:pt idx="21">
                  <c:v>44</c:v>
                </c:pt>
                <c:pt idx="22">
                  <c:v>63</c:v>
                </c:pt>
                <c:pt idx="23">
                  <c:v>64</c:v>
                </c:pt>
                <c:pt idx="24">
                  <c:v>85</c:v>
                </c:pt>
                <c:pt idx="25">
                  <c:v>38</c:v>
                </c:pt>
                <c:pt idx="26">
                  <c:v>84</c:v>
                </c:pt>
                <c:pt idx="27">
                  <c:v>88</c:v>
                </c:pt>
                <c:pt idx="28">
                  <c:v>70</c:v>
                </c:pt>
                <c:pt idx="29">
                  <c:v>35</c:v>
                </c:pt>
                <c:pt idx="30">
                  <c:v>47</c:v>
                </c:pt>
                <c:pt idx="31">
                  <c:v>71</c:v>
                </c:pt>
                <c:pt idx="32">
                  <c:v>58</c:v>
                </c:pt>
                <c:pt idx="33">
                  <c:v>85</c:v>
                </c:pt>
                <c:pt idx="34">
                  <c:v>67</c:v>
                </c:pt>
                <c:pt idx="35">
                  <c:v>38</c:v>
                </c:pt>
                <c:pt idx="36">
                  <c:v>80</c:v>
                </c:pt>
                <c:pt idx="37">
                  <c:v>66</c:v>
                </c:pt>
                <c:pt idx="38">
                  <c:v>82</c:v>
                </c:pt>
                <c:pt idx="39">
                  <c:v>69</c:v>
                </c:pt>
                <c:pt idx="40">
                  <c:v>49</c:v>
                </c:pt>
                <c:pt idx="41">
                  <c:v>75</c:v>
                </c:pt>
                <c:pt idx="42">
                  <c:v>85</c:v>
                </c:pt>
                <c:pt idx="43">
                  <c:v>43</c:v>
                </c:pt>
                <c:pt idx="44">
                  <c:v>92</c:v>
                </c:pt>
                <c:pt idx="45">
                  <c:v>51</c:v>
                </c:pt>
                <c:pt idx="46">
                  <c:v>70</c:v>
                </c:pt>
                <c:pt idx="47">
                  <c:v>74</c:v>
                </c:pt>
                <c:pt idx="48">
                  <c:v>67</c:v>
                </c:pt>
                <c:pt idx="49">
                  <c:v>80</c:v>
                </c:pt>
                <c:pt idx="50">
                  <c:v>50</c:v>
                </c:pt>
                <c:pt idx="51">
                  <c:v>47</c:v>
                </c:pt>
                <c:pt idx="52">
                  <c:v>79</c:v>
                </c:pt>
                <c:pt idx="53">
                  <c:v>88</c:v>
                </c:pt>
                <c:pt idx="54">
                  <c:v>87</c:v>
                </c:pt>
                <c:pt idx="55">
                  <c:v>53</c:v>
                </c:pt>
                <c:pt idx="56">
                  <c:v>76</c:v>
                </c:pt>
                <c:pt idx="57">
                  <c:v>65</c:v>
                </c:pt>
                <c:pt idx="58">
                  <c:v>54</c:v>
                </c:pt>
                <c:pt idx="59">
                  <c:v>47</c:v>
                </c:pt>
                <c:pt idx="60">
                  <c:v>89</c:v>
                </c:pt>
                <c:pt idx="61">
                  <c:v>98</c:v>
                </c:pt>
                <c:pt idx="62">
                  <c:v>67</c:v>
                </c:pt>
                <c:pt idx="63">
                  <c:v>54</c:v>
                </c:pt>
                <c:pt idx="64">
                  <c:v>96</c:v>
                </c:pt>
                <c:pt idx="65">
                  <c:v>58</c:v>
                </c:pt>
                <c:pt idx="66">
                  <c:v>44</c:v>
                </c:pt>
                <c:pt idx="67">
                  <c:v>47</c:v>
                </c:pt>
                <c:pt idx="68">
                  <c:v>67</c:v>
                </c:pt>
                <c:pt idx="69">
                  <c:v>81</c:v>
                </c:pt>
                <c:pt idx="70">
                  <c:v>64</c:v>
                </c:pt>
                <c:pt idx="71">
                  <c:v>83</c:v>
                </c:pt>
                <c:pt idx="72">
                  <c:v>59</c:v>
                </c:pt>
                <c:pt idx="73">
                  <c:v>90</c:v>
                </c:pt>
                <c:pt idx="74">
                  <c:v>39</c:v>
                </c:pt>
                <c:pt idx="75">
                  <c:v>85</c:v>
                </c:pt>
                <c:pt idx="76">
                  <c:v>85</c:v>
                </c:pt>
                <c:pt idx="77">
                  <c:v>48</c:v>
                </c:pt>
                <c:pt idx="78">
                  <c:v>86</c:v>
                </c:pt>
                <c:pt idx="79">
                  <c:v>76</c:v>
                </c:pt>
                <c:pt idx="80">
                  <c:v>71</c:v>
                </c:pt>
                <c:pt idx="81">
                  <c:v>64</c:v>
                </c:pt>
                <c:pt idx="82">
                  <c:v>54</c:v>
                </c:pt>
                <c:pt idx="83">
                  <c:v>66</c:v>
                </c:pt>
                <c:pt idx="84">
                  <c:v>40</c:v>
                </c:pt>
                <c:pt idx="85">
                  <c:v>61</c:v>
                </c:pt>
                <c:pt idx="86">
                  <c:v>84</c:v>
                </c:pt>
                <c:pt idx="87">
                  <c:v>87</c:v>
                </c:pt>
                <c:pt idx="88">
                  <c:v>77</c:v>
                </c:pt>
                <c:pt idx="89">
                  <c:v>41</c:v>
                </c:pt>
                <c:pt idx="90">
                  <c:v>94</c:v>
                </c:pt>
                <c:pt idx="91">
                  <c:v>40</c:v>
                </c:pt>
                <c:pt idx="92">
                  <c:v>70</c:v>
                </c:pt>
                <c:pt idx="93">
                  <c:v>84</c:v>
                </c:pt>
                <c:pt idx="94">
                  <c:v>52</c:v>
                </c:pt>
                <c:pt idx="95">
                  <c:v>83</c:v>
                </c:pt>
                <c:pt idx="96">
                  <c:v>90</c:v>
                </c:pt>
                <c:pt idx="97">
                  <c:v>85</c:v>
                </c:pt>
                <c:pt idx="98">
                  <c:v>76</c:v>
                </c:pt>
                <c:pt idx="99">
                  <c:v>75</c:v>
                </c:pt>
                <c:pt idx="100">
                  <c:v>42</c:v>
                </c:pt>
                <c:pt idx="101">
                  <c:v>97</c:v>
                </c:pt>
                <c:pt idx="102">
                  <c:v>58</c:v>
                </c:pt>
                <c:pt idx="103">
                  <c:v>75</c:v>
                </c:pt>
                <c:pt idx="104">
                  <c:v>54</c:v>
                </c:pt>
                <c:pt idx="105">
                  <c:v>39</c:v>
                </c:pt>
                <c:pt idx="106">
                  <c:v>44</c:v>
                </c:pt>
                <c:pt idx="107">
                  <c:v>84</c:v>
                </c:pt>
                <c:pt idx="108">
                  <c:v>59</c:v>
                </c:pt>
                <c:pt idx="109">
                  <c:v>35</c:v>
                </c:pt>
                <c:pt idx="110">
                  <c:v>70</c:v>
                </c:pt>
                <c:pt idx="111">
                  <c:v>62</c:v>
                </c:pt>
                <c:pt idx="112">
                  <c:v>42</c:v>
                </c:pt>
                <c:pt idx="113">
                  <c:v>40</c:v>
                </c:pt>
                <c:pt idx="114">
                  <c:v>66</c:v>
                </c:pt>
                <c:pt idx="115">
                  <c:v>54</c:v>
                </c:pt>
                <c:pt idx="116">
                  <c:v>51</c:v>
                </c:pt>
                <c:pt idx="117">
                  <c:v>55</c:v>
                </c:pt>
                <c:pt idx="118">
                  <c:v>39</c:v>
                </c:pt>
                <c:pt idx="119">
                  <c:v>44</c:v>
                </c:pt>
                <c:pt idx="120">
                  <c:v>71</c:v>
                </c:pt>
                <c:pt idx="121">
                  <c:v>87</c:v>
                </c:pt>
                <c:pt idx="122">
                  <c:v>55</c:v>
                </c:pt>
                <c:pt idx="123">
                  <c:v>68</c:v>
                </c:pt>
                <c:pt idx="124">
                  <c:v>54</c:v>
                </c:pt>
                <c:pt idx="125">
                  <c:v>43</c:v>
                </c:pt>
                <c:pt idx="126">
                  <c:v>86</c:v>
                </c:pt>
                <c:pt idx="127">
                  <c:v>85</c:v>
                </c:pt>
                <c:pt idx="128">
                  <c:v>46</c:v>
                </c:pt>
                <c:pt idx="129">
                  <c:v>69</c:v>
                </c:pt>
                <c:pt idx="130">
                  <c:v>45</c:v>
                </c:pt>
                <c:pt idx="131">
                  <c:v>89</c:v>
                </c:pt>
                <c:pt idx="132">
                  <c:v>71</c:v>
                </c:pt>
                <c:pt idx="133">
                  <c:v>66</c:v>
                </c:pt>
                <c:pt idx="134">
                  <c:v>38</c:v>
                </c:pt>
                <c:pt idx="135">
                  <c:v>50</c:v>
                </c:pt>
                <c:pt idx="136">
                  <c:v>93</c:v>
                </c:pt>
                <c:pt idx="137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2-49DB-B44D-C04472165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893392"/>
        <c:axId val="991891472"/>
      </c:lineChart>
      <c:catAx>
        <c:axId val="99189339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1891472"/>
        <c:crosses val="autoZero"/>
        <c:auto val="1"/>
        <c:lblAlgn val="ctr"/>
        <c:lblOffset val="100"/>
        <c:noMultiLvlLbl val="0"/>
      </c:catAx>
      <c:valAx>
        <c:axId val="99189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89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'Datasheet '!$M$1</c:f>
              <c:strCache>
                <c:ptCount val="1"/>
                <c:pt idx="0">
                  <c:v>SST</c:v>
                </c:pt>
              </c:strCache>
            </c:strRef>
          </c:tx>
          <c:spPr>
            <a:ln w="34925" cap="rnd"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46000">
                    <a:schemeClr val="accent3">
                      <a:lumMod val="95000"/>
                      <a:lumOff val="5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'Datasheet '!$M$2:$M$139</c:f>
              <c:numCache>
                <c:formatCode>General</c:formatCode>
                <c:ptCount val="138"/>
                <c:pt idx="1">
                  <c:v>81</c:v>
                </c:pt>
                <c:pt idx="2">
                  <c:v>85</c:v>
                </c:pt>
                <c:pt idx="3">
                  <c:v>43</c:v>
                </c:pt>
                <c:pt idx="4">
                  <c:v>87</c:v>
                </c:pt>
                <c:pt idx="5">
                  <c:v>75</c:v>
                </c:pt>
                <c:pt idx="6">
                  <c:v>82</c:v>
                </c:pt>
                <c:pt idx="7">
                  <c:v>43</c:v>
                </c:pt>
                <c:pt idx="8">
                  <c:v>46</c:v>
                </c:pt>
                <c:pt idx="9">
                  <c:v>44</c:v>
                </c:pt>
                <c:pt idx="10">
                  <c:v>86</c:v>
                </c:pt>
                <c:pt idx="11">
                  <c:v>49</c:v>
                </c:pt>
                <c:pt idx="12">
                  <c:v>82</c:v>
                </c:pt>
                <c:pt idx="13">
                  <c:v>81</c:v>
                </c:pt>
                <c:pt idx="14">
                  <c:v>53</c:v>
                </c:pt>
                <c:pt idx="15">
                  <c:v>78</c:v>
                </c:pt>
                <c:pt idx="16">
                  <c:v>63</c:v>
                </c:pt>
                <c:pt idx="17">
                  <c:v>86</c:v>
                </c:pt>
                <c:pt idx="18">
                  <c:v>70</c:v>
                </c:pt>
                <c:pt idx="19">
                  <c:v>91</c:v>
                </c:pt>
                <c:pt idx="20">
                  <c:v>63</c:v>
                </c:pt>
                <c:pt idx="21">
                  <c:v>62</c:v>
                </c:pt>
                <c:pt idx="22">
                  <c:v>80</c:v>
                </c:pt>
                <c:pt idx="23">
                  <c:v>72</c:v>
                </c:pt>
                <c:pt idx="24">
                  <c:v>87</c:v>
                </c:pt>
                <c:pt idx="25">
                  <c:v>66</c:v>
                </c:pt>
                <c:pt idx="26">
                  <c:v>90</c:v>
                </c:pt>
                <c:pt idx="27">
                  <c:v>85</c:v>
                </c:pt>
                <c:pt idx="28">
                  <c:v>80</c:v>
                </c:pt>
                <c:pt idx="29">
                  <c:v>62</c:v>
                </c:pt>
                <c:pt idx="30">
                  <c:v>52</c:v>
                </c:pt>
                <c:pt idx="31">
                  <c:v>87</c:v>
                </c:pt>
                <c:pt idx="32">
                  <c:v>62</c:v>
                </c:pt>
                <c:pt idx="33">
                  <c:v>87</c:v>
                </c:pt>
                <c:pt idx="34">
                  <c:v>68</c:v>
                </c:pt>
                <c:pt idx="35">
                  <c:v>64</c:v>
                </c:pt>
                <c:pt idx="36">
                  <c:v>86</c:v>
                </c:pt>
                <c:pt idx="37">
                  <c:v>63</c:v>
                </c:pt>
                <c:pt idx="38">
                  <c:v>88</c:v>
                </c:pt>
                <c:pt idx="39">
                  <c:v>73</c:v>
                </c:pt>
                <c:pt idx="40">
                  <c:v>58</c:v>
                </c:pt>
                <c:pt idx="41">
                  <c:v>78</c:v>
                </c:pt>
                <c:pt idx="42">
                  <c:v>86</c:v>
                </c:pt>
                <c:pt idx="43">
                  <c:v>52</c:v>
                </c:pt>
                <c:pt idx="44">
                  <c:v>90</c:v>
                </c:pt>
                <c:pt idx="45">
                  <c:v>49</c:v>
                </c:pt>
                <c:pt idx="46">
                  <c:v>71</c:v>
                </c:pt>
                <c:pt idx="47">
                  <c:v>75</c:v>
                </c:pt>
                <c:pt idx="48">
                  <c:v>69</c:v>
                </c:pt>
                <c:pt idx="49">
                  <c:v>91</c:v>
                </c:pt>
                <c:pt idx="50">
                  <c:v>53</c:v>
                </c:pt>
                <c:pt idx="51">
                  <c:v>60</c:v>
                </c:pt>
                <c:pt idx="52">
                  <c:v>80</c:v>
                </c:pt>
                <c:pt idx="53">
                  <c:v>82</c:v>
                </c:pt>
                <c:pt idx="54">
                  <c:v>84</c:v>
                </c:pt>
                <c:pt idx="55">
                  <c:v>64</c:v>
                </c:pt>
                <c:pt idx="56">
                  <c:v>68</c:v>
                </c:pt>
                <c:pt idx="57">
                  <c:v>66</c:v>
                </c:pt>
                <c:pt idx="58">
                  <c:v>59</c:v>
                </c:pt>
                <c:pt idx="59">
                  <c:v>98</c:v>
                </c:pt>
                <c:pt idx="60">
                  <c:v>98</c:v>
                </c:pt>
                <c:pt idx="61">
                  <c:v>59</c:v>
                </c:pt>
                <c:pt idx="62">
                  <c:v>98</c:v>
                </c:pt>
                <c:pt idx="63">
                  <c:v>79</c:v>
                </c:pt>
                <c:pt idx="64">
                  <c:v>76</c:v>
                </c:pt>
                <c:pt idx="65">
                  <c:v>65</c:v>
                </c:pt>
                <c:pt idx="66">
                  <c:v>92</c:v>
                </c:pt>
                <c:pt idx="67">
                  <c:v>93</c:v>
                </c:pt>
                <c:pt idx="68">
                  <c:v>57</c:v>
                </c:pt>
                <c:pt idx="69">
                  <c:v>79</c:v>
                </c:pt>
                <c:pt idx="70">
                  <c:v>67</c:v>
                </c:pt>
                <c:pt idx="71">
                  <c:v>59</c:v>
                </c:pt>
                <c:pt idx="72">
                  <c:v>54</c:v>
                </c:pt>
                <c:pt idx="73">
                  <c:v>85</c:v>
                </c:pt>
                <c:pt idx="74">
                  <c:v>98</c:v>
                </c:pt>
                <c:pt idx="75">
                  <c:v>88</c:v>
                </c:pt>
                <c:pt idx="76">
                  <c:v>46</c:v>
                </c:pt>
                <c:pt idx="77">
                  <c:v>72</c:v>
                </c:pt>
                <c:pt idx="78">
                  <c:v>79</c:v>
                </c:pt>
                <c:pt idx="79">
                  <c:v>96</c:v>
                </c:pt>
                <c:pt idx="80">
                  <c:v>76</c:v>
                </c:pt>
                <c:pt idx="81">
                  <c:v>50</c:v>
                </c:pt>
                <c:pt idx="82">
                  <c:v>52</c:v>
                </c:pt>
                <c:pt idx="83">
                  <c:v>59</c:v>
                </c:pt>
                <c:pt idx="84">
                  <c:v>66</c:v>
                </c:pt>
                <c:pt idx="85">
                  <c:v>58</c:v>
                </c:pt>
                <c:pt idx="86">
                  <c:v>82</c:v>
                </c:pt>
                <c:pt idx="87">
                  <c:v>84</c:v>
                </c:pt>
                <c:pt idx="88">
                  <c:v>87</c:v>
                </c:pt>
                <c:pt idx="89">
                  <c:v>95</c:v>
                </c:pt>
                <c:pt idx="90">
                  <c:v>98</c:v>
                </c:pt>
                <c:pt idx="91">
                  <c:v>87</c:v>
                </c:pt>
                <c:pt idx="92">
                  <c:v>51</c:v>
                </c:pt>
                <c:pt idx="93">
                  <c:v>86</c:v>
                </c:pt>
                <c:pt idx="94">
                  <c:v>51</c:v>
                </c:pt>
                <c:pt idx="95">
                  <c:v>37</c:v>
                </c:pt>
                <c:pt idx="96">
                  <c:v>91</c:v>
                </c:pt>
                <c:pt idx="97">
                  <c:v>83</c:v>
                </c:pt>
                <c:pt idx="98">
                  <c:v>94</c:v>
                </c:pt>
                <c:pt idx="99">
                  <c:v>85</c:v>
                </c:pt>
                <c:pt idx="100">
                  <c:v>87</c:v>
                </c:pt>
                <c:pt idx="101">
                  <c:v>62</c:v>
                </c:pt>
                <c:pt idx="102">
                  <c:v>66</c:v>
                </c:pt>
                <c:pt idx="103">
                  <c:v>88</c:v>
                </c:pt>
                <c:pt idx="104">
                  <c:v>93</c:v>
                </c:pt>
                <c:pt idx="105">
                  <c:v>59</c:v>
                </c:pt>
                <c:pt idx="106">
                  <c:v>98</c:v>
                </c:pt>
                <c:pt idx="107">
                  <c:v>49</c:v>
                </c:pt>
                <c:pt idx="108">
                  <c:v>60</c:v>
                </c:pt>
                <c:pt idx="109">
                  <c:v>49</c:v>
                </c:pt>
                <c:pt idx="110">
                  <c:v>53</c:v>
                </c:pt>
                <c:pt idx="111">
                  <c:v>39</c:v>
                </c:pt>
                <c:pt idx="112">
                  <c:v>42</c:v>
                </c:pt>
                <c:pt idx="113">
                  <c:v>96</c:v>
                </c:pt>
                <c:pt idx="114">
                  <c:v>63</c:v>
                </c:pt>
                <c:pt idx="115">
                  <c:v>36</c:v>
                </c:pt>
                <c:pt idx="116">
                  <c:v>61</c:v>
                </c:pt>
                <c:pt idx="117">
                  <c:v>77</c:v>
                </c:pt>
                <c:pt idx="118">
                  <c:v>64</c:v>
                </c:pt>
                <c:pt idx="119">
                  <c:v>64</c:v>
                </c:pt>
                <c:pt idx="120">
                  <c:v>55</c:v>
                </c:pt>
                <c:pt idx="121">
                  <c:v>46</c:v>
                </c:pt>
                <c:pt idx="122">
                  <c:v>49</c:v>
                </c:pt>
                <c:pt idx="123">
                  <c:v>89</c:v>
                </c:pt>
                <c:pt idx="124">
                  <c:v>88</c:v>
                </c:pt>
                <c:pt idx="125">
                  <c:v>79</c:v>
                </c:pt>
                <c:pt idx="126">
                  <c:v>69</c:v>
                </c:pt>
                <c:pt idx="127">
                  <c:v>98</c:v>
                </c:pt>
                <c:pt idx="128">
                  <c:v>79</c:v>
                </c:pt>
                <c:pt idx="129">
                  <c:v>55</c:v>
                </c:pt>
                <c:pt idx="130">
                  <c:v>95</c:v>
                </c:pt>
                <c:pt idx="131">
                  <c:v>86</c:v>
                </c:pt>
                <c:pt idx="132">
                  <c:v>36</c:v>
                </c:pt>
                <c:pt idx="133">
                  <c:v>71</c:v>
                </c:pt>
                <c:pt idx="134">
                  <c:v>42</c:v>
                </c:pt>
                <c:pt idx="135">
                  <c:v>82</c:v>
                </c:pt>
                <c:pt idx="136">
                  <c:v>51</c:v>
                </c:pt>
                <c:pt idx="137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3-462C-ADD5-808820167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926384"/>
        <c:axId val="883920144"/>
      </c:lineChart>
      <c:catAx>
        <c:axId val="883926384"/>
        <c:scaling>
          <c:orientation val="minMax"/>
        </c:scaling>
        <c:delete val="1"/>
        <c:axPos val="b"/>
        <c:majorTickMark val="none"/>
        <c:minorTickMark val="none"/>
        <c:tickLblPos val="nextTo"/>
        <c:crossAx val="883920144"/>
        <c:crosses val="autoZero"/>
        <c:auto val="1"/>
        <c:lblAlgn val="ctr"/>
        <c:lblOffset val="100"/>
        <c:noMultiLvlLbl val="0"/>
      </c:catAx>
      <c:valAx>
        <c:axId val="8839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92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[Mini_Project_Sem_III_1608.xlsx]Dashboard and Graphs!PivotTable5</c:name>
    <c:fmtId val="3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5.8623143528650059E-3"/>
              <c:y val="-0.2448979591836734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248733352775346"/>
                  <c:h val="0.17049423107825806"/>
                </c:manualLayout>
              </c15:layout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8621604883659206E-3"/>
              <c:y val="0.2285714285714285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564226693885487"/>
                  <c:h val="0.17702484332315604"/>
                </c:manualLayout>
              </c15:layout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'Dashboard and Graphs'!$C$2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94A6-4E99-8500-2444E96483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4A6-4E99-8500-2444E96483B3}"/>
              </c:ext>
            </c:extLst>
          </c:dPt>
          <c:dLbls>
            <c:dLbl>
              <c:idx val="0"/>
              <c:layout>
                <c:manualLayout>
                  <c:x val="5.8623143528650059E-3"/>
                  <c:y val="-0.24489795918367346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248733352775346"/>
                      <c:h val="0.170494231078258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4A6-4E99-8500-2444E96483B3}"/>
                </c:ext>
              </c:extLst>
            </c:dLbl>
            <c:dLbl>
              <c:idx val="1"/>
              <c:layout>
                <c:manualLayout>
                  <c:x val="-5.8621604883659206E-3"/>
                  <c:y val="0.22857142857142856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564226693885487"/>
                      <c:h val="0.177024843323156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4A6-4E99-8500-2444E96483B3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'Dashboard and Graphs'!$B$3:$B$4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'Dashboard and Graphs'!$C$3:$C$4</c:f>
              <c:numCache>
                <c:formatCode>General</c:formatCode>
                <c:ptCount val="2"/>
                <c:pt idx="0">
                  <c:v>67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6-4E99-8500-2444E96483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[Mini_Project_Sem_III_1608.xlsx]Dashboard and Graphs!PivotTable11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866398578784023E-2"/>
              <c:y val="-0.13734885275604397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607895207834632"/>
                  <c:h val="0.15719690634347475"/>
                </c:manualLayout>
              </c15:layout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4746894203423109E-2"/>
              <c:y val="-0.1245722152903654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999596383352157"/>
                  <c:h val="0.15080858761063548"/>
                </c:manualLayout>
              </c15:layout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.3305090279688136"/>
              <c:y val="-5.749474284124762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24492856799594"/>
                  <c:h val="0.10609035648076071"/>
                </c:manualLayout>
              </c15:layout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'Dashboard and Graphs'!$C$25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BA1C-47D3-8706-3D9A7A51E77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BA1C-47D3-8706-3D9A7A51E77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A1C-47D3-8706-3D9A7A51E77B}"/>
              </c:ext>
            </c:extLst>
          </c:dPt>
          <c:dLbls>
            <c:dLbl>
              <c:idx val="0"/>
              <c:layout>
                <c:manualLayout>
                  <c:x val="4.866398578784023E-2"/>
                  <c:y val="-0.13734885275604397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607895207834632"/>
                      <c:h val="0.157196906343474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A1C-47D3-8706-3D9A7A51E77B}"/>
                </c:ext>
              </c:extLst>
            </c:dLbl>
            <c:dLbl>
              <c:idx val="1"/>
              <c:layout>
                <c:manualLayout>
                  <c:x val="0.3305090279688136"/>
                  <c:y val="-5.7494742841247629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824492856799594"/>
                      <c:h val="0.106090356480760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A1C-47D3-8706-3D9A7A51E77B}"/>
                </c:ext>
              </c:extLst>
            </c:dLbl>
            <c:dLbl>
              <c:idx val="2"/>
              <c:layout>
                <c:manualLayout>
                  <c:x val="-5.4746894203423109E-2"/>
                  <c:y val="-0.12457221529036544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999596383352157"/>
                      <c:h val="0.150808587610635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A1C-47D3-8706-3D9A7A51E77B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'Dashboard and Graphs'!$B$26:$B$28</c:f>
              <c:strCache>
                <c:ptCount val="3"/>
                <c:pt idx="0">
                  <c:v>IX</c:v>
                </c:pt>
                <c:pt idx="1">
                  <c:v>VIII</c:v>
                </c:pt>
                <c:pt idx="2">
                  <c:v>X</c:v>
                </c:pt>
              </c:strCache>
            </c:strRef>
          </c:cat>
          <c:val>
            <c:numRef>
              <c:f>'Dashboard and Graphs'!$C$26:$C$28</c:f>
              <c:numCache>
                <c:formatCode>General</c:formatCode>
                <c:ptCount val="3"/>
                <c:pt idx="0">
                  <c:v>46</c:v>
                </c:pt>
                <c:pt idx="1">
                  <c:v>42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C-47D3-8706-3D9A7A51E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58150" cy="609601"/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AC6F268A-B331-8339-D104-9CA62576BB7E}"/>
            </a:ext>
          </a:extLst>
        </xdr:cNvPr>
        <xdr:cNvSpPr/>
      </xdr:nvSpPr>
      <xdr:spPr>
        <a:xfrm>
          <a:off x="0" y="0"/>
          <a:ext cx="8058150" cy="60960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TOR HIGH SCHOOl</a:t>
          </a:r>
          <a:endParaRPr lang="en-US" sz="4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85725</xdr:colOff>
      <xdr:row>3</xdr:row>
      <xdr:rowOff>85725</xdr:rowOff>
    </xdr:from>
    <xdr:ext cx="7962900" cy="33337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4235031-E38E-8D71-BF5C-0878932D8FE4}"/>
            </a:ext>
          </a:extLst>
        </xdr:cNvPr>
        <xdr:cNvSpPr/>
      </xdr:nvSpPr>
      <xdr:spPr>
        <a:xfrm>
          <a:off x="85725" y="657225"/>
          <a:ext cx="7962900" cy="33337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rPr>
            <a:t>A-15 MG Road, Akurdi, Pune, Maharastra 411035</a:t>
          </a:r>
        </a:p>
        <a:p>
          <a:pPr algn="ctr"/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29</xdr:row>
      <xdr:rowOff>5391</xdr:rowOff>
    </xdr:from>
    <xdr:ext cx="2525023" cy="333376"/>
    <xdr:sp macro="" textlink="">
      <xdr:nvSpPr>
        <xdr:cNvPr id="9" name="Rectangle 3">
          <a:extLst>
            <a:ext uri="{FF2B5EF4-FFF2-40B4-BE49-F238E27FC236}">
              <a16:creationId xmlns:a16="http://schemas.microsoft.com/office/drawing/2014/main" id="{1D5F5D94-4483-7447-A088-6E760FB609D1}"/>
            </a:ext>
          </a:extLst>
        </xdr:cNvPr>
        <xdr:cNvSpPr/>
      </xdr:nvSpPr>
      <xdr:spPr>
        <a:xfrm>
          <a:off x="0" y="5748966"/>
          <a:ext cx="2525023" cy="33337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1" u="none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rPr>
            <a:t>Principal's Sign</a:t>
          </a:r>
        </a:p>
        <a:p>
          <a:pPr algn="ctr"/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26959</xdr:colOff>
      <xdr:row>7</xdr:row>
      <xdr:rowOff>105834</xdr:rowOff>
    </xdr:from>
    <xdr:ext cx="8439708" cy="282222"/>
    <xdr:sp macro="" textlink="">
      <xdr:nvSpPr>
        <xdr:cNvPr id="33" name="Rectangle 4">
          <a:extLst>
            <a:ext uri="{FF2B5EF4-FFF2-40B4-BE49-F238E27FC236}">
              <a16:creationId xmlns:a16="http://schemas.microsoft.com/office/drawing/2014/main" id="{EBFDDDA5-5F6B-C09F-F08F-BBE891CA68CE}"/>
            </a:ext>
          </a:extLst>
        </xdr:cNvPr>
        <xdr:cNvSpPr/>
      </xdr:nvSpPr>
      <xdr:spPr>
        <a:xfrm>
          <a:off x="26959" y="1464028"/>
          <a:ext cx="8439708" cy="282222"/>
        </a:xfrm>
        <a:prstGeom prst="rect">
          <a:avLst/>
        </a:prstGeom>
        <a:solidFill>
          <a:srgbClr val="FF0000"/>
        </a:solidFill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rPr>
            <a:t>REPORT</a:t>
          </a:r>
          <a:r>
            <a:rPr lang="en-US" sz="16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rPr>
            <a:t>-CARD</a:t>
          </a:r>
          <a:endParaRPr lang="en-US" sz="1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38100</xdr:colOff>
      <xdr:row>27</xdr:row>
      <xdr:rowOff>133350</xdr:rowOff>
    </xdr:from>
    <xdr:ext cx="2525023" cy="333376"/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07CBB9-85A9-1D1B-F7E6-69CECD382145}"/>
            </a:ext>
          </a:extLst>
        </xdr:cNvPr>
        <xdr:cNvSpPr/>
      </xdr:nvSpPr>
      <xdr:spPr>
        <a:xfrm>
          <a:off x="38100" y="5495925"/>
          <a:ext cx="2525023" cy="33337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rPr>
            <a:t>_________________________</a:t>
          </a:r>
        </a:p>
      </xdr:txBody>
    </xdr:sp>
    <xdr:clientData/>
  </xdr:oneCellAnchor>
  <xdr:oneCellAnchor>
    <xdr:from>
      <xdr:col>5</xdr:col>
      <xdr:colOff>347213</xdr:colOff>
      <xdr:row>29</xdr:row>
      <xdr:rowOff>23902</xdr:rowOff>
    </xdr:from>
    <xdr:ext cx="2525023" cy="333376"/>
    <xdr:sp macro="" textlink="">
      <xdr:nvSpPr>
        <xdr:cNvPr id="10" name="Rectangle 6">
          <a:extLst>
            <a:ext uri="{FF2B5EF4-FFF2-40B4-BE49-F238E27FC236}">
              <a16:creationId xmlns:a16="http://schemas.microsoft.com/office/drawing/2014/main" id="{4A166114-0377-BD26-351D-ED7ECB4259F2}"/>
            </a:ext>
          </a:extLst>
        </xdr:cNvPr>
        <xdr:cNvSpPr/>
      </xdr:nvSpPr>
      <xdr:spPr>
        <a:xfrm>
          <a:off x="2909438" y="5767477"/>
          <a:ext cx="2525023" cy="33337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1" u="none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rPr>
            <a:t>Teacher's Sign</a:t>
          </a:r>
        </a:p>
        <a:p>
          <a:pPr algn="ctr"/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</xdr:col>
      <xdr:colOff>346315</xdr:colOff>
      <xdr:row>27</xdr:row>
      <xdr:rowOff>133350</xdr:rowOff>
    </xdr:from>
    <xdr:ext cx="2525023" cy="333376"/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5F8858C5-AADD-EF76-822A-1DC9755867B6}"/>
            </a:ext>
          </a:extLst>
        </xdr:cNvPr>
        <xdr:cNvSpPr/>
      </xdr:nvSpPr>
      <xdr:spPr>
        <a:xfrm>
          <a:off x="2908540" y="5495925"/>
          <a:ext cx="2525023" cy="33337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rPr>
            <a:t>_________________________</a:t>
          </a:r>
        </a:p>
      </xdr:txBody>
    </xdr:sp>
    <xdr:clientData/>
  </xdr:oneCellAnchor>
  <xdr:oneCellAnchor>
    <xdr:from>
      <xdr:col>10</xdr:col>
      <xdr:colOff>28036</xdr:colOff>
      <xdr:row>29</xdr:row>
      <xdr:rowOff>42413</xdr:rowOff>
    </xdr:from>
    <xdr:ext cx="2542995" cy="333376"/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346CC68B-2AB3-AB62-7948-2061FF4959AB}"/>
            </a:ext>
          </a:extLst>
        </xdr:cNvPr>
        <xdr:cNvSpPr/>
      </xdr:nvSpPr>
      <xdr:spPr>
        <a:xfrm>
          <a:off x="5638261" y="5785988"/>
          <a:ext cx="2542995" cy="33337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1" u="none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rPr>
            <a:t>Parent's Sign</a:t>
          </a:r>
        </a:p>
        <a:p>
          <a:pPr algn="ctr"/>
          <a:endParaRPr lang="en-US" sz="1600" b="1" u="none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" panose="020B0004020202020204" pitchFamily="34" charset="0"/>
          </a:endParaRPr>
        </a:p>
        <a:p>
          <a:pPr algn="ctr"/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10</xdr:col>
      <xdr:colOff>13659</xdr:colOff>
      <xdr:row>27</xdr:row>
      <xdr:rowOff>136087</xdr:rowOff>
    </xdr:from>
    <xdr:ext cx="2426179" cy="333376"/>
    <xdr:sp macro="" textlink="">
      <xdr:nvSpPr>
        <xdr:cNvPr id="61" name="Rectangle 9">
          <a:extLst>
            <a:ext uri="{FF2B5EF4-FFF2-40B4-BE49-F238E27FC236}">
              <a16:creationId xmlns:a16="http://schemas.microsoft.com/office/drawing/2014/main" id="{D5E091F4-5625-CC34-3F59-37FA1EEE14BA}"/>
            </a:ext>
          </a:extLst>
        </xdr:cNvPr>
        <xdr:cNvSpPr/>
      </xdr:nvSpPr>
      <xdr:spPr>
        <a:xfrm>
          <a:off x="5611428" y="5492068"/>
          <a:ext cx="2426179" cy="33337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rPr>
            <a:t>________________________</a:t>
          </a:r>
        </a:p>
      </xdr:txBody>
    </xdr:sp>
    <xdr:clientData/>
  </xdr:oneCellAnchor>
  <xdr:oneCellAnchor>
    <xdr:from>
      <xdr:col>0</xdr:col>
      <xdr:colOff>103696</xdr:colOff>
      <xdr:row>5</xdr:row>
      <xdr:rowOff>31809</xdr:rowOff>
    </xdr:from>
    <xdr:ext cx="7916354" cy="333376"/>
    <xdr:sp macro="" textlink="">
      <xdr:nvSpPr>
        <xdr:cNvPr id="2" name="Rectangle 10">
          <a:extLst>
            <a:ext uri="{FF2B5EF4-FFF2-40B4-BE49-F238E27FC236}">
              <a16:creationId xmlns:a16="http://schemas.microsoft.com/office/drawing/2014/main" id="{58A1445D-AFFA-201B-CF76-E26F65743A0F}"/>
            </a:ext>
          </a:extLst>
        </xdr:cNvPr>
        <xdr:cNvSpPr/>
      </xdr:nvSpPr>
      <xdr:spPr>
        <a:xfrm>
          <a:off x="103696" y="984309"/>
          <a:ext cx="7916354" cy="33337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1" u="sng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rPr>
            <a:t>Session : 2025-26</a:t>
          </a:r>
        </a:p>
        <a:p>
          <a:pPr algn="ctr"/>
          <a:endParaRPr lang="en-US" sz="1600" b="1" u="sng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" panose="020B0004020202020204" pitchFamily="34" charset="0"/>
          </a:endParaRPr>
        </a:p>
        <a:p>
          <a:pPr algn="ctr"/>
          <a:endParaRPr lang="en-US" sz="1800" b="1" u="sng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 editAs="oneCell">
    <xdr:from>
      <xdr:col>11</xdr:col>
      <xdr:colOff>379128</xdr:colOff>
      <xdr:row>0</xdr:row>
      <xdr:rowOff>14654</xdr:rowOff>
    </xdr:from>
    <xdr:to>
      <xdr:col>13</xdr:col>
      <xdr:colOff>596044</xdr:colOff>
      <xdr:row>7</xdr:row>
      <xdr:rowOff>52437</xdr:rowOff>
    </xdr:to>
    <xdr:pic>
      <xdr:nvPicPr>
        <xdr:cNvPr id="57" name="Picture 3">
          <a:extLst>
            <a:ext uri="{FF2B5EF4-FFF2-40B4-BE49-F238E27FC236}">
              <a16:creationId xmlns:a16="http://schemas.microsoft.com/office/drawing/2014/main" id="{A7753227-7CAB-EBBA-C078-AFF836CAB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duotone>
            <a:prstClr val="black"/>
            <a:srgbClr val="AECDE9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85032" y="14654"/>
          <a:ext cx="1439374" cy="13727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320725</xdr:colOff>
      <xdr:row>7</xdr:row>
      <xdr:rowOff>42536</xdr:rowOff>
    </xdr:to>
    <xdr:pic>
      <xdr:nvPicPr>
        <xdr:cNvPr id="60" name="Picture 5">
          <a:extLst>
            <a:ext uri="{FF2B5EF4-FFF2-40B4-BE49-F238E27FC236}">
              <a16:creationId xmlns:a16="http://schemas.microsoft.com/office/drawing/2014/main" id="{061622C7-2583-AE76-86A7-F606D9D70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prstClr val="black"/>
            <a:schemeClr val="accent1">
              <a:lumMod val="20000"/>
              <a:lumOff val="8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0" y="95250"/>
          <a:ext cx="1582303" cy="1282212"/>
        </a:xfrm>
        <a:prstGeom prst="rect">
          <a:avLst/>
        </a:prstGeom>
      </xdr:spPr>
    </xdr:pic>
    <xdr:clientData/>
  </xdr:twoCellAnchor>
  <xdr:twoCellAnchor>
    <xdr:from>
      <xdr:col>14</xdr:col>
      <xdr:colOff>47624</xdr:colOff>
      <xdr:row>0</xdr:row>
      <xdr:rowOff>0</xdr:rowOff>
    </xdr:from>
    <xdr:to>
      <xdr:col>25</xdr:col>
      <xdr:colOff>47625</xdr:colOff>
      <xdr:row>31</xdr:row>
      <xdr:rowOff>10948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896CFF-BD8F-8FC4-3F0E-5CCD114A5F84}"/>
            </a:ext>
            <a:ext uri="{147F2762-F138-4A5C-976F-8EAC2B608ADB}">
              <a16:predDERef xmlns:a16="http://schemas.microsoft.com/office/drawing/2014/main" pred="{061622C7-2583-AE76-86A7-F606D9D70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20052</xdr:colOff>
      <xdr:row>4</xdr:row>
      <xdr:rowOff>10026</xdr:rowOff>
    </xdr:from>
    <xdr:to>
      <xdr:col>28</xdr:col>
      <xdr:colOff>2005</xdr:colOff>
      <xdr:row>20</xdr:row>
      <xdr:rowOff>70986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15015F-F228-4A33-9D40-587BCA352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611604</xdr:colOff>
      <xdr:row>21</xdr:row>
      <xdr:rowOff>140369</xdr:rowOff>
    </xdr:from>
    <xdr:to>
      <xdr:col>27</xdr:col>
      <xdr:colOff>593557</xdr:colOff>
      <xdr:row>37</xdr:row>
      <xdr:rowOff>91040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CCFEBF-ED16-4898-B9BF-D232AFD67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40</xdr:row>
      <xdr:rowOff>190499</xdr:rowOff>
    </xdr:from>
    <xdr:to>
      <xdr:col>27</xdr:col>
      <xdr:colOff>593558</xdr:colOff>
      <xdr:row>56</xdr:row>
      <xdr:rowOff>131143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248305-981A-4044-9677-2EF67FDD6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611604</xdr:colOff>
      <xdr:row>4</xdr:row>
      <xdr:rowOff>0</xdr:rowOff>
    </xdr:from>
    <xdr:to>
      <xdr:col>41</xdr:col>
      <xdr:colOff>593556</xdr:colOff>
      <xdr:row>20</xdr:row>
      <xdr:rowOff>60960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AC27DC-D58B-4D63-9FE9-8A8729AC8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611604</xdr:colOff>
      <xdr:row>22</xdr:row>
      <xdr:rowOff>0</xdr:rowOff>
    </xdr:from>
    <xdr:to>
      <xdr:col>41</xdr:col>
      <xdr:colOff>593556</xdr:colOff>
      <xdr:row>37</xdr:row>
      <xdr:rowOff>141171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AE64CA-33A6-4B6D-A9A2-00D1DE3AC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10024</xdr:colOff>
      <xdr:row>41</xdr:row>
      <xdr:rowOff>20052</xdr:rowOff>
    </xdr:from>
    <xdr:to>
      <xdr:col>41</xdr:col>
      <xdr:colOff>603582</xdr:colOff>
      <xdr:row>56</xdr:row>
      <xdr:rowOff>151196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F6E4D95-249C-4EE9-8772-172F6D92B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508000</xdr:colOff>
      <xdr:row>1</xdr:row>
      <xdr:rowOff>79375</xdr:rowOff>
    </xdr:from>
    <xdr:to>
      <xdr:col>14</xdr:col>
      <xdr:colOff>301625</xdr:colOff>
      <xdr:row>21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6A9642-344D-DC6C-6158-D6344921F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556531</xdr:colOff>
      <xdr:row>24</xdr:row>
      <xdr:rowOff>62592</xdr:rowOff>
    </xdr:from>
    <xdr:to>
      <xdr:col>14</xdr:col>
      <xdr:colOff>114300</xdr:colOff>
      <xdr:row>44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DD7BB4-F58A-085C-B462-C057DDA39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717F80FCAB57F3D/Documents/Mini_Project_Sem_III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717F80FCAB57F3D/Documents/Mini_Project_Sem_III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as Dangi" refreshedDate="45872.938665046298" createdVersion="8" refreshedVersion="8" minRefreshableVersion="3" recordCount="136" xr:uid="{69FE8F4B-742F-4A30-B6BB-271CC946C37C}">
  <cacheSource type="worksheet">
    <worksheetSource ref="A3:M139" sheet="Dataset" r:id="rId2"/>
  </cacheSource>
  <cacheFields count="13">
    <cacheField name="A063863" numFmtId="0">
      <sharedItems/>
    </cacheField>
    <cacheField name="ADITI RAJESH GUPTA" numFmtId="0">
      <sharedItems/>
    </cacheField>
    <cacheField name="RAJESH" numFmtId="0">
      <sharedItems/>
    </cacheField>
    <cacheField name="POOJA" numFmtId="0">
      <sharedItems/>
    </cacheField>
    <cacheField name="Female" numFmtId="0">
      <sharedItems count="2">
        <s v="Male"/>
        <s v="Female"/>
      </sharedItems>
    </cacheField>
    <cacheField name="21803129810" numFmtId="0">
      <sharedItems/>
    </cacheField>
    <cacheField name="VIII" numFmtId="0">
      <sharedItems/>
    </cacheField>
    <cacheField name="89" numFmtId="0">
      <sharedItems containsSemiMixedTypes="0" containsString="0" containsNumber="1" containsInteger="1" minValue="37" maxValue="98"/>
    </cacheField>
    <cacheField name="71" numFmtId="0">
      <sharedItems containsSemiMixedTypes="0" containsString="0" containsNumber="1" containsInteger="1" minValue="35" maxValue="98"/>
    </cacheField>
    <cacheField name="67" numFmtId="0">
      <sharedItems containsSemiMixedTypes="0" containsString="0" containsNumber="1" containsInteger="1" minValue="35" maxValue="98"/>
    </cacheField>
    <cacheField name="48" numFmtId="0">
      <sharedItems containsSemiMixedTypes="0" containsString="0" containsNumber="1" containsInteger="1" minValue="35" maxValue="98"/>
    </cacheField>
    <cacheField name="73" numFmtId="0">
      <sharedItems containsSemiMixedTypes="0" containsString="0" containsNumber="1" containsInteger="1" minValue="35" maxValue="98"/>
    </cacheField>
    <cacheField name="81" numFmtId="0">
      <sharedItems containsSemiMixedTypes="0" containsString="0" containsNumber="1" containsInteger="1" minValue="36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as Dangi" refreshedDate="45872.952960879629" createdVersion="8" refreshedVersion="8" minRefreshableVersion="3" recordCount="136" xr:uid="{4AEA316B-F68B-4588-9CDE-B90EABED886C}">
  <cacheSource type="worksheet">
    <worksheetSource ref="A3:M139" sheet="Dataset" r:id="rId2"/>
  </cacheSource>
  <cacheFields count="13">
    <cacheField name="A063863" numFmtId="0">
      <sharedItems/>
    </cacheField>
    <cacheField name="ADITI RAJESH GUPTA" numFmtId="0">
      <sharedItems/>
    </cacheField>
    <cacheField name="RAJESH" numFmtId="0">
      <sharedItems/>
    </cacheField>
    <cacheField name="POOJA" numFmtId="0">
      <sharedItems/>
    </cacheField>
    <cacheField name="Female" numFmtId="0">
      <sharedItems/>
    </cacheField>
    <cacheField name="21803129810" numFmtId="0">
      <sharedItems/>
    </cacheField>
    <cacheField name="VIII" numFmtId="0">
      <sharedItems count="3">
        <s v="VIII"/>
        <s v="IX"/>
        <s v="X"/>
      </sharedItems>
    </cacheField>
    <cacheField name="89" numFmtId="0">
      <sharedItems containsSemiMixedTypes="0" containsString="0" containsNumber="1" containsInteger="1" minValue="37" maxValue="98"/>
    </cacheField>
    <cacheField name="71" numFmtId="0">
      <sharedItems containsSemiMixedTypes="0" containsString="0" containsNumber="1" containsInteger="1" minValue="35" maxValue="98"/>
    </cacheField>
    <cacheField name="67" numFmtId="0">
      <sharedItems containsSemiMixedTypes="0" containsString="0" containsNumber="1" containsInteger="1" minValue="35" maxValue="98"/>
    </cacheField>
    <cacheField name="48" numFmtId="0">
      <sharedItems containsSemiMixedTypes="0" containsString="0" containsNumber="1" containsInteger="1" minValue="35" maxValue="98"/>
    </cacheField>
    <cacheField name="73" numFmtId="0">
      <sharedItems containsSemiMixedTypes="0" containsString="0" containsNumber="1" containsInteger="1" minValue="35" maxValue="98"/>
    </cacheField>
    <cacheField name="81" numFmtId="0">
      <sharedItems containsSemiMixedTypes="0" containsString="0" containsNumber="1" containsInteger="1" minValue="36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A063864"/>
    <s v="ADITYA DIPAK TAPKIR"/>
    <s v="DEEPAK"/>
    <s v="JAYSHREE"/>
    <x v="0"/>
    <s v="22359638554"/>
    <s v="VIII"/>
    <n v="57"/>
    <n v="64"/>
    <n v="36"/>
    <n v="54"/>
    <n v="81"/>
    <n v="85"/>
  </r>
  <r>
    <s v="A063865"/>
    <s v="ADITYA JEEVAN SATPUTE"/>
    <s v="JEEVAN"/>
    <s v="SARASWATI"/>
    <x v="0"/>
    <s v="22111353633"/>
    <s v="VIII"/>
    <n v="82"/>
    <n v="89"/>
    <n v="85"/>
    <n v="85"/>
    <n v="75"/>
    <n v="43"/>
  </r>
  <r>
    <s v="A063866"/>
    <s v="AFFAN MUJAHID SHAIKH"/>
    <s v="MUJAHID"/>
    <s v="SHAKERA"/>
    <x v="0"/>
    <s v="21908526402"/>
    <s v="VIII"/>
    <n v="68"/>
    <n v="48"/>
    <n v="91"/>
    <n v="67"/>
    <n v="90"/>
    <n v="87"/>
  </r>
  <r>
    <s v="A063867"/>
    <s v="ARPITA SURJEET CHAUHAN"/>
    <s v="SURJEET"/>
    <s v="REENA"/>
    <x v="1"/>
    <s v="21812872480"/>
    <s v="VIII"/>
    <n v="64"/>
    <n v="85"/>
    <n v="60"/>
    <n v="36"/>
    <n v="58"/>
    <n v="75"/>
  </r>
  <r>
    <s v="A063868"/>
    <s v="DEVIYANI TEJBAHADUR MASTER"/>
    <s v="TEJBAHADUR"/>
    <s v="LALITA"/>
    <x v="1"/>
    <s v="22221635762"/>
    <s v="VIII"/>
    <n v="78"/>
    <n v="73"/>
    <n v="43"/>
    <n v="85"/>
    <n v="98"/>
    <n v="82"/>
  </r>
  <r>
    <s v="A063869"/>
    <s v="DIVYA TEJBAHADUR MASTER"/>
    <s v="TEJBAHADUR"/>
    <s v="LALITA"/>
    <x v="1"/>
    <s v="22106928789"/>
    <s v="VIII"/>
    <n v="84"/>
    <n v="87"/>
    <n v="46"/>
    <n v="91"/>
    <n v="43"/>
    <n v="43"/>
  </r>
  <r>
    <s v="A063870"/>
    <s v="GITANJALI SHAILESH CHAUHAN"/>
    <s v="SHAILESH"/>
    <s v="ANJU"/>
    <x v="1"/>
    <s v="21837957653"/>
    <s v="VIII"/>
    <n v="55"/>
    <n v="93"/>
    <n v="44"/>
    <n v="60"/>
    <n v="51"/>
    <n v="46"/>
  </r>
  <r>
    <s v="A063871"/>
    <s v="HAMZA AMEER KHAN"/>
    <s v="HAMZA"/>
    <s v="NASEEM"/>
    <x v="0"/>
    <s v="22054189622"/>
    <s v="VIII"/>
    <n v="77"/>
    <n v="75"/>
    <n v="86"/>
    <n v="70"/>
    <n v="86"/>
    <n v="44"/>
  </r>
  <r>
    <s v="A063872"/>
    <s v="HARISH KIRAN MUTHE"/>
    <s v="DINKAR"/>
    <s v="ARCHANA"/>
    <x v="0"/>
    <s v="21986400618"/>
    <s v="VIII"/>
    <n v="71"/>
    <n v="86"/>
    <n v="57"/>
    <n v="90"/>
    <n v="98"/>
    <n v="86"/>
  </r>
  <r>
    <s v="A063873"/>
    <s v="HRISHANT SACHIN JADHAV"/>
    <s v="SACHIN"/>
    <s v="YOGITA"/>
    <x v="0"/>
    <s v="21992464702"/>
    <s v="VIII"/>
    <n v="77"/>
    <n v="87"/>
    <n v="82"/>
    <n v="65"/>
    <n v="41"/>
    <n v="49"/>
  </r>
  <r>
    <s v="A063874"/>
    <s v="HUZAIFA WASEEM QURESHI"/>
    <s v="WASEEM"/>
    <s v="KAUSAR"/>
    <x v="0"/>
    <s v="22272267280"/>
    <s v="VIII"/>
    <n v="83"/>
    <n v="77"/>
    <n v="68"/>
    <n v="96"/>
    <n v="93"/>
    <n v="82"/>
  </r>
  <r>
    <s v="A063875"/>
    <s v="KARAN KAILASH SINGH"/>
    <s v="KAILASH"/>
    <s v="ANJALI DEVI"/>
    <x v="0"/>
    <s v="21907488426"/>
    <s v="VIII"/>
    <n v="79"/>
    <n v="69"/>
    <n v="78"/>
    <n v="75"/>
    <n v="70"/>
    <n v="81"/>
  </r>
  <r>
    <s v="A063876"/>
    <s v="MAYUR MANOJ PATIL"/>
    <s v="MANOJ DEVIDAS"/>
    <s v="SUNITA"/>
    <x v="0"/>
    <s v="22132934805"/>
    <s v="VIII"/>
    <n v="52"/>
    <n v="40"/>
    <n v="75"/>
    <n v="51"/>
    <n v="46"/>
    <n v="53"/>
  </r>
  <r>
    <s v="A063877"/>
    <s v="MEHEREEN SAMEER KHAN"/>
    <s v="SAMEER QUYYUM"/>
    <s v="SABA"/>
    <x v="1"/>
    <s v="22105483384"/>
    <s v="VIII"/>
    <n v="79"/>
    <n v="75"/>
    <n v="41"/>
    <n v="79"/>
    <n v="68"/>
    <n v="78"/>
  </r>
  <r>
    <s v="A063878"/>
    <s v="MISABA SHABBIR SHAIKH"/>
    <s v="SHABBIR"/>
    <s v="NASEEM"/>
    <x v="1"/>
    <s v="21922827810"/>
    <s v="VIII"/>
    <n v="54"/>
    <n v="51"/>
    <n v="73"/>
    <n v="43"/>
    <n v="53"/>
    <n v="63"/>
  </r>
  <r>
    <s v="A063879"/>
    <s v="MUSKAN AMARJEET RAIJI"/>
    <s v="AMARJEET"/>
    <s v="SUMAN"/>
    <x v="1"/>
    <s v="22185602500"/>
    <s v="VIII"/>
    <n v="84"/>
    <n v="78"/>
    <n v="47"/>
    <n v="84"/>
    <n v="85"/>
    <n v="86"/>
  </r>
  <r>
    <s v="A063880"/>
    <s v="NAMAN SACHIN KALLA"/>
    <s v="SACHIN"/>
    <s v="DEEPA"/>
    <x v="0"/>
    <s v="21880352068"/>
    <s v="VIII"/>
    <n v="66"/>
    <n v="52"/>
    <n v="73"/>
    <n v="77"/>
    <n v="60"/>
    <n v="70"/>
  </r>
  <r>
    <s v="A063881"/>
    <s v="PARTH RAJENDRA DAVANE"/>
    <s v="RAJENDRA"/>
    <s v="MANISHA"/>
    <x v="0"/>
    <s v="21902788067"/>
    <s v="VIII"/>
    <n v="85"/>
    <n v="84"/>
    <n v="51"/>
    <n v="76"/>
    <n v="82"/>
    <n v="91"/>
  </r>
  <r>
    <s v="A063882"/>
    <s v="PAYAL RAVINDRASINGH DHILLON"/>
    <s v="RAVINDER HIRA SINGH DHILLON"/>
    <s v="DAMYANTI RAVINDER SINGH DHILLON"/>
    <x v="1"/>
    <s v="23359526787"/>
    <s v="VIII"/>
    <n v="59"/>
    <n v="43"/>
    <n v="82"/>
    <n v="48"/>
    <n v="47"/>
    <n v="63"/>
  </r>
  <r>
    <s v="A063883"/>
    <s v="POONAM BHIMSINGH DHAMI"/>
    <s v="BHIMSINGH"/>
    <s v="KOKILA"/>
    <x v="1"/>
    <s v="22556626498"/>
    <s v="VIII"/>
    <n v="55"/>
    <n v="43"/>
    <n v="40"/>
    <n v="59"/>
    <n v="44"/>
    <n v="62"/>
  </r>
  <r>
    <s v="A063884"/>
    <s v="PRASAD SAHIL PAWAN"/>
    <s v="PAWAN"/>
    <s v="PRIYA"/>
    <x v="0"/>
    <s v="21824587048"/>
    <s v="VIII"/>
    <n v="69"/>
    <n v="64"/>
    <n v="53"/>
    <n v="76"/>
    <n v="63"/>
    <n v="80"/>
  </r>
  <r>
    <s v="A063885"/>
    <s v="PRITI PRAMOD GOND"/>
    <s v="PRAMOD"/>
    <s v="MEERA"/>
    <x v="1"/>
    <s v="22028352225"/>
    <s v="VIII"/>
    <n v="77"/>
    <n v="68"/>
    <n v="62"/>
    <n v="77"/>
    <n v="64"/>
    <n v="72"/>
  </r>
  <r>
    <s v="A063886"/>
    <s v="RAHUL OMPRAKASH JANGID"/>
    <s v="OMPRAKASH"/>
    <s v="REKHADEVI"/>
    <x v="0"/>
    <s v="21926992299"/>
    <s v="VIII"/>
    <n v="81"/>
    <n v="75"/>
    <n v="69"/>
    <n v="83"/>
    <n v="85"/>
    <n v="87"/>
  </r>
  <r>
    <s v="A063887"/>
    <s v="ROHAN ARUN SUKRE"/>
    <s v="ARUN"/>
    <s v="ASHWINI"/>
    <x v="0"/>
    <s v="21864017579"/>
    <s v="VIII"/>
    <n v="66"/>
    <n v="48"/>
    <n v="77"/>
    <n v="39"/>
    <n v="38"/>
    <n v="66"/>
  </r>
  <r>
    <s v="A063888"/>
    <s v="ROHIT CHHATRASAL BAGHEL"/>
    <s v="CHHATRASAL"/>
    <s v="SURAJMUKHI"/>
    <x v="0"/>
    <s v="21825756135"/>
    <s v="VIII"/>
    <n v="83"/>
    <n v="79"/>
    <n v="45"/>
    <n v="91"/>
    <n v="84"/>
    <n v="90"/>
  </r>
  <r>
    <s v="A063889"/>
    <s v="ROSHNI CHHATRASAL BAGHEL"/>
    <s v="CHHATRASAL"/>
    <s v="SURAJMUKHI"/>
    <x v="1"/>
    <s v="21840912884"/>
    <s v="VIII"/>
    <n v="81"/>
    <n v="78"/>
    <n v="76"/>
    <n v="94"/>
    <n v="88"/>
    <n v="85"/>
  </r>
  <r>
    <s v="A063890"/>
    <s v="RUTIK SURESH SAVEKAR"/>
    <s v="SURESH"/>
    <s v="SUNITA"/>
    <x v="0"/>
    <s v="22089998776"/>
    <s v="VIII"/>
    <n v="65"/>
    <n v="50"/>
    <n v="75"/>
    <n v="75"/>
    <n v="70"/>
    <n v="80"/>
  </r>
  <r>
    <s v="A063891"/>
    <s v="SACHIN LADURAM JANGID"/>
    <s v="LADURAM"/>
    <s v="LALITA"/>
    <x v="0"/>
    <s v="21880364438"/>
    <s v="VIII"/>
    <n v="59"/>
    <n v="39"/>
    <n v="39"/>
    <n v="38"/>
    <n v="35"/>
    <n v="62"/>
  </r>
  <r>
    <s v="A063892"/>
    <s v="SAFAK SHOIEB SHAIKH"/>
    <s v="SHOIEB"/>
    <s v="FIRDAUS"/>
    <x v="1"/>
    <s v="22198717110"/>
    <s v="VIII"/>
    <n v="62"/>
    <n v="35"/>
    <n v="42"/>
    <n v="42"/>
    <n v="47"/>
    <n v="52"/>
  </r>
  <r>
    <s v="A063893"/>
    <s v="SAI GANESH KAMBLE"/>
    <s v="GANESH SUBHASH KAMBLE"/>
    <s v="DIPALI GANESH KAMBLE"/>
    <x v="1"/>
    <s v="23271176029"/>
    <s v="VIII"/>
    <n v="83"/>
    <n v="70"/>
    <n v="35"/>
    <n v="64"/>
    <n v="71"/>
    <n v="87"/>
  </r>
  <r>
    <s v="A063894"/>
    <s v="SAMEER JAINUDDIN SHAIKH"/>
    <s v="JAINUDDIN"/>
    <s v="KARIMA"/>
    <x v="0"/>
    <s v="22130411408"/>
    <s v="VIII"/>
    <n v="79"/>
    <n v="69"/>
    <n v="82"/>
    <n v="64"/>
    <n v="58"/>
    <n v="62"/>
  </r>
  <r>
    <s v="A063895"/>
    <s v="SHRAMIK SURESH CHOUDHARI"/>
    <s v="SAMEER"/>
    <s v="RENUKA"/>
    <x v="0"/>
    <s v="21905979143"/>
    <s v="VIII"/>
    <n v="85"/>
    <n v="72"/>
    <n v="73"/>
    <n v="95"/>
    <n v="85"/>
    <n v="87"/>
  </r>
  <r>
    <s v="A063896"/>
    <s v="SOHAM DHANRAJ AMLE"/>
    <s v="DHANRAJ"/>
    <s v="SARIKA"/>
    <x v="0"/>
    <s v="22090808485"/>
    <s v="VIII"/>
    <n v="62"/>
    <n v="59"/>
    <n v="72"/>
    <n v="52"/>
    <n v="67"/>
    <n v="68"/>
  </r>
  <r>
    <s v="A063897"/>
    <s v="SONAKSHI DNYANESHWAR VITKAR"/>
    <s v="DNYANESHWA"/>
    <s v="SARIKA"/>
    <x v="1"/>
    <s v="21921478464"/>
    <s v="VIII"/>
    <n v="60"/>
    <n v="54"/>
    <n v="52"/>
    <n v="42"/>
    <n v="38"/>
    <n v="64"/>
  </r>
  <r>
    <s v="A063898"/>
    <s v="SUHAIL AZAD SHAIKH"/>
    <s v="AZAD"/>
    <s v="RASHIDA"/>
    <x v="0"/>
    <s v="22287125436"/>
    <s v="VIII"/>
    <n v="77"/>
    <n v="56"/>
    <n v="42"/>
    <n v="75"/>
    <n v="80"/>
    <n v="86"/>
  </r>
  <r>
    <s v="A063899"/>
    <s v="SUSHILA KARANSINGH DHANUK"/>
    <s v="KARANSINGH"/>
    <s v="AMRUTA"/>
    <x v="1"/>
    <s v="22185686425"/>
    <s v="VIII"/>
    <n v="73"/>
    <n v="59"/>
    <n v="60"/>
    <n v="66"/>
    <n v="66"/>
    <n v="63"/>
  </r>
  <r>
    <s v="A063900"/>
    <s v="SWARALI MACHINDRA GOPHANE"/>
    <s v="MACCHINDAR"/>
    <s v="ROHINI"/>
    <x v="1"/>
    <s v="21943676960"/>
    <s v="VIII"/>
    <n v="74"/>
    <n v="78"/>
    <n v="53"/>
    <n v="93"/>
    <n v="82"/>
    <n v="88"/>
  </r>
  <r>
    <s v="A063901"/>
    <s v="SWAROOPSINGH MANOHARSINGH INDA"/>
    <s v="MANOHARSINGH"/>
    <s v="VIMAL"/>
    <x v="0"/>
    <s v="22296752726"/>
    <s v="VIII"/>
    <n v="77"/>
    <n v="71"/>
    <n v="73"/>
    <n v="81"/>
    <n v="69"/>
    <n v="73"/>
  </r>
  <r>
    <s v="A063902"/>
    <s v="VEDANT AWDHESH DUBEY"/>
    <s v="AWDHESH"/>
    <s v="SANDHYA"/>
    <x v="0"/>
    <s v="22027937532"/>
    <s v="VIII"/>
    <n v="73"/>
    <n v="55"/>
    <n v="58"/>
    <n v="45"/>
    <n v="49"/>
    <n v="58"/>
  </r>
  <r>
    <s v="A063903"/>
    <s v="VIRAJ BHIMA MHETRE"/>
    <s v="BHIMA"/>
    <s v="ARCHANA"/>
    <x v="0"/>
    <s v="22102285056"/>
    <s v="VIII"/>
    <n v="82"/>
    <n v="73"/>
    <n v="60"/>
    <n v="85"/>
    <n v="75"/>
    <n v="78"/>
  </r>
  <r>
    <s v="A063904"/>
    <s v="VIVEK RAJARAM JAISWAL"/>
    <s v="RAJARAM"/>
    <s v="RINKUDEVI"/>
    <x v="0"/>
    <s v="21997029440"/>
    <s v="VIII"/>
    <n v="87"/>
    <n v="78"/>
    <n v="60"/>
    <n v="93"/>
    <n v="85"/>
    <n v="86"/>
  </r>
  <r>
    <s v="A063905"/>
    <s v="WOSTI SAINATH MAHANAND"/>
    <s v="MAHANAND"/>
    <s v="KHIMADEVI"/>
    <x v="0"/>
    <s v="22003934153"/>
    <s v="VIII"/>
    <n v="57"/>
    <n v="48"/>
    <n v="67"/>
    <n v="62"/>
    <n v="43"/>
    <n v="52"/>
  </r>
  <r>
    <s v="A063906"/>
    <s v="ABHAY VIPIN MISHRA"/>
    <s v="VIPIN"/>
    <s v="ARATI"/>
    <x v="0"/>
    <s v="21869573363"/>
    <s v="IX"/>
    <n v="93"/>
    <n v="88"/>
    <n v="46"/>
    <n v="90"/>
    <n v="92"/>
    <n v="90"/>
  </r>
  <r>
    <s v="A063907"/>
    <s v="ADITYA PARDESHILAL VARMA"/>
    <s v="PARDESHILAL"/>
    <s v="NEHA"/>
    <x v="0"/>
    <s v="22588135933"/>
    <s v="IX"/>
    <n v="69"/>
    <n v="39"/>
    <n v="86"/>
    <n v="57"/>
    <n v="51"/>
    <n v="49"/>
  </r>
  <r>
    <s v="A063908"/>
    <s v="ANIKET NANDPRAKASH GUPTA"/>
    <s v="NANDPRAKASH"/>
    <s v="BHARATI"/>
    <x v="0"/>
    <s v="21995247690"/>
    <s v="IX"/>
    <n v="77"/>
    <n v="68"/>
    <n v="35"/>
    <n v="70"/>
    <n v="70"/>
    <n v="71"/>
  </r>
  <r>
    <s v="A063909"/>
    <s v="ANSH PANKAJ PANDEY"/>
    <s v="PANKAJ"/>
    <s v="MAMTA"/>
    <x v="0"/>
    <s v="22263194853"/>
    <s v="IX"/>
    <n v="78"/>
    <n v="74"/>
    <n v="64"/>
    <n v="77"/>
    <n v="74"/>
    <n v="75"/>
  </r>
  <r>
    <s v="A063910"/>
    <s v="ANUSHKA RAMPRAVESH VISHWAKARMA"/>
    <s v="RAMPRAVESH"/>
    <s v="SUSHMA"/>
    <x v="1"/>
    <s v="22507804316"/>
    <s v="IX"/>
    <n v="74"/>
    <n v="74"/>
    <n v="67"/>
    <n v="81"/>
    <n v="67"/>
    <n v="69"/>
  </r>
  <r>
    <s v="A063911"/>
    <s v="ARPITA RAM SINGH"/>
    <s v="RAM SINGH"/>
    <s v="ANITA"/>
    <x v="1"/>
    <s v="22068083813"/>
    <s v="IX"/>
    <n v="85"/>
    <n v="71"/>
    <n v="80"/>
    <n v="86"/>
    <n v="80"/>
    <n v="91"/>
  </r>
  <r>
    <s v="A063912"/>
    <s v="ASHISH DARMENDRA RAISONI"/>
    <s v="DARMENDRA"/>
    <s v="MANJU"/>
    <x v="0"/>
    <s v="21887613303"/>
    <s v="IX"/>
    <n v="75"/>
    <n v="55"/>
    <n v="82"/>
    <n v="35"/>
    <n v="50"/>
    <n v="53"/>
  </r>
  <r>
    <s v="A063913"/>
    <s v="ASHISH MAHESH CHAUDHARI"/>
    <s v="MAHESH"/>
    <s v="VAISHALI"/>
    <x v="0"/>
    <s v="21982569366"/>
    <s v="IX"/>
    <n v="58"/>
    <n v="35"/>
    <n v="46"/>
    <n v="53"/>
    <n v="47"/>
    <n v="60"/>
  </r>
  <r>
    <s v="A063914"/>
    <s v="ATHARVA ABHIJEET MALIK"/>
    <s v="ABHIJEET"/>
    <s v="AKSHATA"/>
    <x v="0"/>
    <s v="22370573371"/>
    <s v="IX"/>
    <n v="81"/>
    <n v="80"/>
    <n v="39"/>
    <n v="77"/>
    <n v="79"/>
    <n v="80"/>
  </r>
  <r>
    <s v="A063915"/>
    <s v="ATMAJA ANAND ATOLE"/>
    <s v="ANAND"/>
    <s v="JYOTSANA"/>
    <x v="1"/>
    <s v="22046956402"/>
    <s v="IX"/>
    <n v="85"/>
    <n v="83"/>
    <n v="71"/>
    <n v="87"/>
    <n v="88"/>
    <n v="82"/>
  </r>
  <r>
    <s v="A063916"/>
    <s v="AYUSH VIKAS OVHAL"/>
    <s v="VIKAS"/>
    <s v="YOGINI"/>
    <x v="0"/>
    <s v="21935004272"/>
    <s v="IX"/>
    <n v="84"/>
    <n v="82"/>
    <n v="83"/>
    <n v="89"/>
    <n v="87"/>
    <n v="84"/>
  </r>
  <r>
    <s v="A063917"/>
    <s v="BHAGAT SHANKAR SUNAR"/>
    <s v="BHAGAT"/>
    <s v="SAVITA"/>
    <x v="0"/>
    <s v="22080507767"/>
    <s v="IX"/>
    <n v="80"/>
    <n v="61"/>
    <n v="77"/>
    <n v="59"/>
    <n v="53"/>
    <n v="64"/>
  </r>
  <r>
    <s v="A063918"/>
    <s v="CHIRAG SHANKARLAL MALVIYA"/>
    <s v="SHANKARLAL"/>
    <s v="PRAKASHDEVI"/>
    <x v="0"/>
    <s v="22079659305"/>
    <s v="IX"/>
    <n v="75"/>
    <n v="68"/>
    <n v="51"/>
    <n v="70"/>
    <n v="76"/>
    <n v="68"/>
  </r>
  <r>
    <s v="A063919"/>
    <s v="DEEPANSHI SATISH SINGH"/>
    <s v="SATISH"/>
    <s v="SEEMA"/>
    <x v="1"/>
    <s v="22435743112"/>
    <s v="IX"/>
    <n v="79"/>
    <n v="74"/>
    <n v="60"/>
    <n v="74"/>
    <n v="65"/>
    <n v="66"/>
  </r>
  <r>
    <s v="A063920"/>
    <s v="DHANUSH PRASAD NAMBIAR"/>
    <s v="PRASAD"/>
    <s v="DEEPALI"/>
    <x v="0"/>
    <s v="21968994612"/>
    <s v="IX"/>
    <n v="76"/>
    <n v="45"/>
    <n v="59"/>
    <n v="75"/>
    <n v="54"/>
    <n v="59"/>
  </r>
  <r>
    <s v="A063921"/>
    <s v="DIKSHITA PREMCHAND RAYSONI"/>
    <s v="PREMCHAND"/>
    <s v="PINKY"/>
    <x v="1"/>
    <s v="21825361208"/>
    <s v="IX"/>
    <n v="67"/>
    <n v="56"/>
    <n v="57"/>
    <n v="35"/>
    <n v="47"/>
    <n v="98"/>
  </r>
  <r>
    <s v="A063922"/>
    <s v="GUPTA TARKESHWAR PRATIK"/>
    <s v="TARKESHWAR"/>
    <s v="SARITA"/>
    <x v="0"/>
    <s v="22203161815"/>
    <s v="IX"/>
    <n v="96"/>
    <n v="75"/>
    <n v="88"/>
    <n v="50"/>
    <n v="89"/>
    <n v="98"/>
  </r>
  <r>
    <s v="A063923"/>
    <s v="JAINUL ALDIN VASIMRAJA SHAH"/>
    <s v="VASIMRAJA"/>
    <s v="NASIMBANO"/>
    <x v="0"/>
    <s v="21810511524"/>
    <s v="IX"/>
    <n v="82"/>
    <n v="50"/>
    <n v="45"/>
    <n v="57"/>
    <n v="98"/>
    <n v="59"/>
  </r>
  <r>
    <s v="A063924"/>
    <s v="JAYASHREE GAJENDRA RAJPUT"/>
    <s v="GAJENDRA"/>
    <s v="NEMUNKANWAR"/>
    <x v="1"/>
    <s v="22228268279"/>
    <s v="IX"/>
    <n v="80"/>
    <n v="52"/>
    <n v="93"/>
    <n v="44"/>
    <n v="67"/>
    <n v="98"/>
  </r>
  <r>
    <s v="A063925"/>
    <s v="KHUSHBHU BHUNDRAM PARMAR"/>
    <s v="BHUNDRAM"/>
    <s v="LEELA"/>
    <x v="1"/>
    <s v="21883211663"/>
    <s v="IX"/>
    <n v="92"/>
    <n v="84"/>
    <n v="56"/>
    <n v="75"/>
    <n v="54"/>
    <n v="79"/>
  </r>
  <r>
    <s v="A063926"/>
    <s v="LUCKY SANJAY THAPA"/>
    <s v="SANJAY"/>
    <s v="CHETKUMARI"/>
    <x v="0"/>
    <s v="21874549778"/>
    <s v="IX"/>
    <n v="69"/>
    <n v="82"/>
    <n v="42"/>
    <n v="76"/>
    <n v="96"/>
    <n v="76"/>
  </r>
  <r>
    <s v="A063927"/>
    <s v="MANAS VALMIK BORSE"/>
    <s v="VALMIK"/>
    <s v="JYOTI"/>
    <x v="0"/>
    <s v="21853946679"/>
    <s v="IX"/>
    <n v="53"/>
    <n v="52"/>
    <n v="43"/>
    <n v="92"/>
    <n v="58"/>
    <n v="65"/>
  </r>
  <r>
    <s v="A063928"/>
    <s v="MANISHA DALARAM SIRVI"/>
    <s v="DOLARAM"/>
    <s v="VIMALA"/>
    <x v="1"/>
    <s v="21928176441"/>
    <s v="IX"/>
    <n v="50"/>
    <n v="74"/>
    <n v="61"/>
    <n v="47"/>
    <n v="44"/>
    <n v="92"/>
  </r>
  <r>
    <s v="A063929"/>
    <s v="MOHINI RAJU KANERIYA"/>
    <s v="RAJU"/>
    <s v="POONAM"/>
    <x v="1"/>
    <s v="22094500432"/>
    <s v="IX"/>
    <n v="38"/>
    <n v="64"/>
    <n v="50"/>
    <n v="45"/>
    <n v="47"/>
    <n v="93"/>
  </r>
  <r>
    <s v="A063930"/>
    <s v="NAIR AKASH VINOD"/>
    <s v="VINOD"/>
    <s v="RAJI"/>
    <x v="0"/>
    <s v="22054203571"/>
    <s v="IX"/>
    <n v="82"/>
    <n v="67"/>
    <n v="76"/>
    <n v="92"/>
    <n v="67"/>
    <n v="57"/>
  </r>
  <r>
    <s v="A063931"/>
    <s v="NAITIK SURESH SINGH"/>
    <s v="SURESH"/>
    <s v="PRATIBHA"/>
    <x v="0"/>
    <s v="21857314914"/>
    <s v="IX"/>
    <n v="87"/>
    <n v="44"/>
    <n v="97"/>
    <n v="50"/>
    <n v="81"/>
    <n v="79"/>
  </r>
  <r>
    <s v="A063932"/>
    <s v="NEHA KAILASH SINGH"/>
    <s v="KAILASH"/>
    <s v="ANJALI"/>
    <x v="1"/>
    <s v="21931447318"/>
    <s v="IX"/>
    <n v="45"/>
    <n v="48"/>
    <n v="72"/>
    <n v="49"/>
    <n v="64"/>
    <n v="67"/>
  </r>
  <r>
    <s v="A063933"/>
    <s v="NIRANJAN MAHADEV BANSODE"/>
    <s v="MAHADEV"/>
    <s v="POURNIMA"/>
    <x v="0"/>
    <s v="22139067674"/>
    <s v="IX"/>
    <n v="78"/>
    <n v="76"/>
    <n v="64"/>
    <n v="62"/>
    <n v="83"/>
    <n v="59"/>
  </r>
  <r>
    <s v="A063934"/>
    <s v="PRADNYA SUSHIL GAVALI"/>
    <s v="SUSHIL"/>
    <s v="PRATIMA"/>
    <x v="1"/>
    <s v="22192604389"/>
    <s v="IX"/>
    <n v="45"/>
    <n v="67"/>
    <n v="58"/>
    <n v="40"/>
    <n v="59"/>
    <n v="54"/>
  </r>
  <r>
    <s v="A063935"/>
    <s v="RITIKA PAVANKUMAR GARG"/>
    <s v="PAVANKUMAR"/>
    <s v="POONAM"/>
    <x v="1"/>
    <s v="22172239653"/>
    <s v="IX"/>
    <n v="81"/>
    <n v="92"/>
    <n v="60"/>
    <n v="82"/>
    <n v="90"/>
    <n v="85"/>
  </r>
  <r>
    <s v="A063936"/>
    <s v="RIYA ASHOK JAISWAL"/>
    <s v="ASHOK"/>
    <s v="SANJU"/>
    <x v="1"/>
    <s v="21821270576"/>
    <s v="IX"/>
    <n v="81"/>
    <n v="51"/>
    <n v="95"/>
    <n v="70"/>
    <n v="39"/>
    <n v="98"/>
  </r>
  <r>
    <s v="A063937"/>
    <s v="SAI BABU CHATRE"/>
    <s v="BABU"/>
    <s v="RESHMA"/>
    <x v="0"/>
    <s v="21892789027"/>
    <s v="IX"/>
    <n v="96"/>
    <n v="64"/>
    <n v="75"/>
    <n v="39"/>
    <n v="85"/>
    <n v="88"/>
  </r>
  <r>
    <s v="A063938"/>
    <s v="SAMRUDDHI VIJAY TAMBE"/>
    <s v="VIJAY"/>
    <s v="ANATIA"/>
    <x v="1"/>
    <s v="22035581027"/>
    <s v="IX"/>
    <n v="91"/>
    <n v="38"/>
    <n v="83"/>
    <n v="78"/>
    <n v="85"/>
    <n v="46"/>
  </r>
  <r>
    <s v="A063939"/>
    <s v="SANTOSH KANKESH CHAVAN"/>
    <s v="SANTOSH"/>
    <s v="VIJAYALAKSHAMI"/>
    <x v="0"/>
    <s v="22494037826"/>
    <s v="IX"/>
    <n v="78"/>
    <n v="38"/>
    <n v="90"/>
    <n v="35"/>
    <n v="48"/>
    <n v="72"/>
  </r>
  <r>
    <s v="A063940"/>
    <s v="SIDDHI JOGINDER SHARMA"/>
    <s v="JOGINDER"/>
    <s v="SUNITA"/>
    <x v="1"/>
    <s v="22041980692"/>
    <s v="IX"/>
    <n v="53"/>
    <n v="80"/>
    <n v="76"/>
    <n v="55"/>
    <n v="86"/>
    <n v="79"/>
  </r>
  <r>
    <s v="A063941"/>
    <s v="SIFA MUSTAFA ANSARI"/>
    <s v="MUSTAFA"/>
    <s v="SALEHA"/>
    <x v="1"/>
    <s v="22317977616"/>
    <s v="IX"/>
    <n v="98"/>
    <n v="45"/>
    <n v="47"/>
    <n v="82"/>
    <n v="76"/>
    <n v="96"/>
  </r>
  <r>
    <s v="A063942"/>
    <s v="SUFIYAN NIZAMUDDIN KHAN"/>
    <s v="NIZAMUDDIN"/>
    <s v="SHAHIN"/>
    <x v="0"/>
    <s v="22597242773"/>
    <s v="IX"/>
    <n v="83"/>
    <n v="86"/>
    <n v="92"/>
    <n v="83"/>
    <n v="71"/>
    <n v="76"/>
  </r>
  <r>
    <s v="A063943"/>
    <s v="TAHURA ZUBER SHAIKH"/>
    <s v="ZUBER"/>
    <s v="SHABANA"/>
    <x v="1"/>
    <s v="22461851768"/>
    <s v="IX"/>
    <n v="63"/>
    <n v="46"/>
    <n v="86"/>
    <n v="60"/>
    <n v="64"/>
    <n v="50"/>
  </r>
  <r>
    <s v="A063944"/>
    <s v="TANVI AMOL PHADKE"/>
    <s v="AMOL"/>
    <s v="VARSHA"/>
    <x v="1"/>
    <s v="22341340331"/>
    <s v="IX"/>
    <n v="44"/>
    <n v="72"/>
    <n v="52"/>
    <n v="51"/>
    <n v="54"/>
    <n v="52"/>
  </r>
  <r>
    <s v="A063945"/>
    <s v="UMMEHANI MOHAMMEDRASUL PASHA"/>
    <s v="MOHAMMEDRASUL"/>
    <s v="NOORFROJ"/>
    <x v="1"/>
    <s v="21846355489"/>
    <s v="IX"/>
    <n v="91"/>
    <n v="56"/>
    <n v="50"/>
    <n v="57"/>
    <n v="66"/>
    <n v="59"/>
  </r>
  <r>
    <s v="A063946"/>
    <s v="VAIBHAVI CHANDRAPRAKASH JADHAV"/>
    <s v="CHANDRAPRAKASH"/>
    <s v="SANGITA"/>
    <x v="1"/>
    <s v="21846797545"/>
    <s v="IX"/>
    <n v="92"/>
    <n v="71"/>
    <n v="44"/>
    <n v="57"/>
    <n v="40"/>
    <n v="66"/>
  </r>
  <r>
    <s v="A063947"/>
    <s v="VAIBHAVI PRADIP PATIL"/>
    <s v="PRADIP"/>
    <s v="JYOTI"/>
    <x v="1"/>
    <s v="21969455201"/>
    <s v="IX"/>
    <n v="59"/>
    <n v="60"/>
    <n v="41"/>
    <n v="45"/>
    <n v="61"/>
    <n v="58"/>
  </r>
  <r>
    <s v="A063948"/>
    <s v="VAIDEHI PRADIP PATIL"/>
    <s v="PRADIP"/>
    <s v="JYOTI"/>
    <x v="1"/>
    <s v="21805369106"/>
    <s v="IX"/>
    <n v="49"/>
    <n v="83"/>
    <n v="79"/>
    <n v="85"/>
    <n v="84"/>
    <n v="82"/>
  </r>
  <r>
    <s v="A063949"/>
    <s v="VAISHNAVI RAJU VANDAGAL"/>
    <s v="RAJU"/>
    <s v="VIMAL"/>
    <x v="1"/>
    <s v="21902996301"/>
    <s v="IX"/>
    <n v="55"/>
    <n v="96"/>
    <n v="95"/>
    <n v="82"/>
    <n v="87"/>
    <n v="84"/>
  </r>
  <r>
    <s v="A063950"/>
    <s v="VEDANT RAHUL PUJARI"/>
    <s v="RAHUL"/>
    <s v="PRIYANKA"/>
    <x v="0"/>
    <s v="21850077755"/>
    <s v="IX"/>
    <n v="50"/>
    <n v="93"/>
    <n v="47"/>
    <n v="48"/>
    <n v="77"/>
    <n v="87"/>
  </r>
  <r>
    <s v="A063951"/>
    <s v="ZEENAT TASLIM HAJARATBHAI"/>
    <s v="TASLIM"/>
    <s v="ZAHURA"/>
    <x v="1"/>
    <s v="22025586897"/>
    <s v="IX"/>
    <n v="87"/>
    <n v="56"/>
    <n v="38"/>
    <n v="36"/>
    <n v="41"/>
    <n v="95"/>
  </r>
  <r>
    <s v="A063952"/>
    <s v="AAMIR RAMZAN SHAIKH"/>
    <s v="RAMZAN"/>
    <s v="NASEEM"/>
    <x v="0"/>
    <s v="21894570455"/>
    <s v="X"/>
    <n v="66"/>
    <n v="88"/>
    <n v="91"/>
    <n v="39"/>
    <n v="94"/>
    <n v="98"/>
  </r>
  <r>
    <s v="A063953"/>
    <s v="ABHISHEK KRISHNA AMKING"/>
    <s v="KRISHNA"/>
    <s v="REEBIKA"/>
    <x v="0"/>
    <s v="21853710755"/>
    <s v="X"/>
    <n v="84"/>
    <n v="81"/>
    <n v="57"/>
    <n v="35"/>
    <n v="40"/>
    <n v="87"/>
  </r>
  <r>
    <s v="A063954"/>
    <s v="ADITYA SACHIN VITEKAR"/>
    <s v="SACHIN"/>
    <s v="MANISHA"/>
    <x v="0"/>
    <s v="21820820336"/>
    <s v="X"/>
    <n v="56"/>
    <n v="79"/>
    <n v="53"/>
    <n v="44"/>
    <n v="70"/>
    <n v="51"/>
  </r>
  <r>
    <s v="A063955"/>
    <s v="AKSHARA PRADEEP JAISWAR"/>
    <s v="PRADEEP"/>
    <s v="INDU"/>
    <x v="1"/>
    <s v="22162019555"/>
    <s v="X"/>
    <n v="77"/>
    <n v="35"/>
    <n v="63"/>
    <n v="60"/>
    <n v="84"/>
    <n v="86"/>
  </r>
  <r>
    <s v="A063956"/>
    <s v="ANJALI ASHISHKUMAR AGARWAL"/>
    <s v="ASHISH"/>
    <s v="VEENA"/>
    <x v="1"/>
    <s v="22408942695"/>
    <s v="X"/>
    <n v="72"/>
    <n v="43"/>
    <n v="69"/>
    <n v="70"/>
    <n v="52"/>
    <n v="51"/>
  </r>
  <r>
    <s v="A063957"/>
    <s v="ANKITA VITTHAL BORSE"/>
    <s v="VITTHAL"/>
    <s v="MUKTABAI"/>
    <x v="1"/>
    <s v="21819952474"/>
    <s v="X"/>
    <n v="77"/>
    <n v="62"/>
    <n v="41"/>
    <n v="61"/>
    <n v="83"/>
    <n v="37"/>
  </r>
  <r>
    <s v="A063958"/>
    <s v="ANSARI AJAM SHAUKAT"/>
    <s v="SHAUKAT"/>
    <s v="ISHRAT"/>
    <x v="0"/>
    <s v="21979644395"/>
    <s v="X"/>
    <n v="66"/>
    <n v="54"/>
    <n v="69"/>
    <n v="88"/>
    <n v="90"/>
    <n v="91"/>
  </r>
  <r>
    <s v="A063959"/>
    <s v="ATHARVA DINESH MISHRA"/>
    <s v="DINESH"/>
    <s v="RANJANA"/>
    <x v="0"/>
    <s v="22338958078"/>
    <s v="X"/>
    <n v="83"/>
    <n v="52"/>
    <n v="42"/>
    <n v="40"/>
    <n v="85"/>
    <n v="83"/>
  </r>
  <r>
    <s v="A063960"/>
    <s v="BAM DEEPIKA KRISHNA"/>
    <s v="KRISHNA"/>
    <s v="DIVYA"/>
    <x v="1"/>
    <s v="22128135637"/>
    <s v="X"/>
    <n v="77"/>
    <n v="77"/>
    <n v="59"/>
    <n v="82"/>
    <n v="76"/>
    <n v="94"/>
  </r>
  <r>
    <s v="A063961"/>
    <s v="BHAGYASHRI PRASHANT AMBILWADE"/>
    <s v="PRASHANT"/>
    <s v="MADHURI"/>
    <x v="1"/>
    <s v="21802270733"/>
    <s v="X"/>
    <n v="83"/>
    <n v="47"/>
    <n v="38"/>
    <n v="51"/>
    <n v="75"/>
    <n v="85"/>
  </r>
  <r>
    <s v="A063962"/>
    <s v="BHATT GAURAV TILAK"/>
    <s v="TILAK"/>
    <s v="BABITA"/>
    <x v="0"/>
    <s v="22179470776"/>
    <s v="X"/>
    <n v="51"/>
    <n v="71"/>
    <n v="39"/>
    <n v="80"/>
    <n v="42"/>
    <n v="87"/>
  </r>
  <r>
    <s v="A063963"/>
    <s v="DAMODAR KUMAR UDAY DANGI"/>
    <s v="UDAY"/>
    <s v="KUNTI"/>
    <x v="0"/>
    <s v="21884195468"/>
    <s v="X"/>
    <n v="91"/>
    <n v="91"/>
    <n v="64"/>
    <n v="50"/>
    <n v="97"/>
    <n v="62"/>
  </r>
  <r>
    <s v="A063964"/>
    <s v="DISHA DAMODAR KUKEN"/>
    <s v="DAMODAR"/>
    <s v="SUSHMA"/>
    <x v="1"/>
    <s v="22281674198"/>
    <s v="X"/>
    <n v="76"/>
    <n v="35"/>
    <n v="40"/>
    <n v="98"/>
    <n v="58"/>
    <n v="66"/>
  </r>
  <r>
    <s v="A063965"/>
    <s v="FARHAT SHAKILAHAMAD MULLA"/>
    <s v="SHAKILAHAMAD"/>
    <s v="AFSEEN"/>
    <x v="1"/>
    <s v="22096957182"/>
    <s v="X"/>
    <n v="88"/>
    <n v="80"/>
    <n v="46"/>
    <n v="93"/>
    <n v="75"/>
    <n v="88"/>
  </r>
  <r>
    <s v="A063966"/>
    <s v="HARSHIT DASHRATH LAL VISHWAKARMA"/>
    <s v="DASHRATHLAL"/>
    <s v="LAXMI"/>
    <x v="0"/>
    <s v="22210348175"/>
    <s v="X"/>
    <n v="71"/>
    <n v="66"/>
    <n v="62"/>
    <n v="36"/>
    <n v="54"/>
    <n v="93"/>
  </r>
  <r>
    <s v="A063967"/>
    <s v="HARSHIT RATNESH PANDEY"/>
    <s v="RATNESH"/>
    <s v="ANITA"/>
    <x v="0"/>
    <s v="22587407178"/>
    <s v="X"/>
    <n v="88"/>
    <n v="36"/>
    <n v="98"/>
    <n v="51"/>
    <n v="39"/>
    <n v="59"/>
  </r>
  <r>
    <s v="A063968"/>
    <s v="INDA DIMPALKANWAR JABARSINGH"/>
    <s v="JABARSUNGH"/>
    <s v="RAWAL"/>
    <x v="1"/>
    <s v="21896395591"/>
    <s v="X"/>
    <n v="48"/>
    <n v="68"/>
    <n v="96"/>
    <n v="93"/>
    <n v="44"/>
    <n v="98"/>
  </r>
  <r>
    <s v="A063969"/>
    <s v="JAISWAR ISHA SIKANDAR"/>
    <s v="SIKANDAR"/>
    <s v="ANITA"/>
    <x v="1"/>
    <s v="22379409931"/>
    <s v="X"/>
    <n v="50"/>
    <n v="96"/>
    <n v="73"/>
    <n v="58"/>
    <n v="84"/>
    <n v="49"/>
  </r>
  <r>
    <s v="A063970"/>
    <s v="KAMBLE RASIKA MITHU"/>
    <s v="MITHU"/>
    <s v="AAMRAPALI"/>
    <x v="1"/>
    <s v="22347487366"/>
    <s v="X"/>
    <n v="82"/>
    <n v="79"/>
    <n v="69"/>
    <n v="81"/>
    <n v="59"/>
    <n v="60"/>
  </r>
  <r>
    <s v="A063971"/>
    <s v="KASHISH RAJAN GUPTA"/>
    <s v="RAJAN"/>
    <s v="MANA"/>
    <x v="1"/>
    <s v="21971336606"/>
    <s v="X"/>
    <n v="46"/>
    <n v="67"/>
    <n v="97"/>
    <n v="52"/>
    <n v="35"/>
    <n v="49"/>
  </r>
  <r>
    <s v="A063972"/>
    <s v="KIRAN GOVIND SHINDE"/>
    <s v="GOVIND"/>
    <s v="MEERA"/>
    <x v="1"/>
    <s v="21916053054"/>
    <s v="X"/>
    <n v="83"/>
    <n v="85"/>
    <n v="46"/>
    <n v="55"/>
    <n v="70"/>
    <n v="53"/>
  </r>
  <r>
    <s v="A063973"/>
    <s v="KRISHNA MOHANSINGH BISHT"/>
    <s v="MOHANSINGH"/>
    <s v="JANKI"/>
    <x v="0"/>
    <s v="22250191197"/>
    <s v="X"/>
    <n v="49"/>
    <n v="63"/>
    <n v="53"/>
    <n v="43"/>
    <n v="62"/>
    <n v="39"/>
  </r>
  <r>
    <s v="A063974"/>
    <s v="MANISH ISHWAR SONAWANE"/>
    <s v="ISHWAR"/>
    <s v="ALKA"/>
    <x v="0"/>
    <s v="22522009312"/>
    <s v="X"/>
    <n v="40"/>
    <n v="43"/>
    <n v="80"/>
    <n v="64"/>
    <n v="42"/>
    <n v="42"/>
  </r>
  <r>
    <s v="A063975"/>
    <s v="MISHRA NIDHI VIPIN"/>
    <s v="VIPIN"/>
    <s v="AARTI"/>
    <x v="1"/>
    <s v="21949666950"/>
    <s v="X"/>
    <n v="86"/>
    <n v="86"/>
    <n v="45"/>
    <n v="47"/>
    <n v="40"/>
    <n v="96"/>
  </r>
  <r>
    <s v="A063976"/>
    <s v="MOHHAMADJAID MANSUR BHALDAR"/>
    <s v="MANSUR"/>
    <s v="MINAJ"/>
    <x v="0"/>
    <s v="22071355747"/>
    <s v="X"/>
    <n v="43"/>
    <n v="55"/>
    <n v="41"/>
    <n v="47"/>
    <n v="66"/>
    <n v="63"/>
  </r>
  <r>
    <s v="A063977"/>
    <s v="NAITIK BRIJESH SINGH"/>
    <s v="BRIJESH"/>
    <s v="SUDHA"/>
    <x v="0"/>
    <s v="21886187510"/>
    <s v="X"/>
    <n v="40"/>
    <n v="77"/>
    <n v="65"/>
    <n v="77"/>
    <n v="54"/>
    <n v="36"/>
  </r>
  <r>
    <s v="A063978"/>
    <s v="PANDEY ABHIJIT PUSHPADHAR"/>
    <s v="PUSPADHAR"/>
    <s v="ANJU"/>
    <x v="0"/>
    <s v="21815282763"/>
    <s v="X"/>
    <n v="40"/>
    <n v="57"/>
    <n v="69"/>
    <n v="90"/>
    <n v="51"/>
    <n v="61"/>
  </r>
  <r>
    <s v="A063979"/>
    <s v="PATIL RAJ NAMADEV"/>
    <s v="NAMDEV"/>
    <s v="SHWETA"/>
    <x v="0"/>
    <s v="22274110879"/>
    <s v="X"/>
    <n v="56"/>
    <n v="61"/>
    <n v="55"/>
    <n v="83"/>
    <n v="55"/>
    <n v="77"/>
  </r>
  <r>
    <s v="A063980"/>
    <s v="PRACHI SUBHASH KORI"/>
    <s v="SUBHASH"/>
    <s v="ANJU"/>
    <x v="1"/>
    <s v="22204954213"/>
    <s v="X"/>
    <n v="37"/>
    <n v="36"/>
    <n v="37"/>
    <n v="81"/>
    <n v="39"/>
    <n v="64"/>
  </r>
  <r>
    <s v="A063981"/>
    <s v="PRANAY OMPRAKASH JAISWAR"/>
    <s v="OMPRAKASH"/>
    <s v="SEEMA"/>
    <x v="0"/>
    <s v="22001209758"/>
    <s v="X"/>
    <n v="42"/>
    <n v="77"/>
    <n v="66"/>
    <n v="42"/>
    <n v="44"/>
    <n v="64"/>
  </r>
  <r>
    <s v="A063982"/>
    <s v="PRAPTI DIGAMBAR SATPUTE"/>
    <s v="DIGAMBAR"/>
    <s v="SHAKUNTALE"/>
    <x v="1"/>
    <s v="21941767419"/>
    <s v="X"/>
    <n v="56"/>
    <n v="93"/>
    <n v="96"/>
    <n v="82"/>
    <n v="71"/>
    <n v="55"/>
  </r>
  <r>
    <s v="A063983"/>
    <s v="PRASAD SALONI PAWAN"/>
    <s v="PAWAN"/>
    <s v="PRIYA"/>
    <x v="1"/>
    <s v="22089979462"/>
    <s v="X"/>
    <n v="84"/>
    <n v="98"/>
    <n v="54"/>
    <n v="68"/>
    <n v="87"/>
    <n v="46"/>
  </r>
  <r>
    <s v="A063984"/>
    <s v="PREM MINBAHADUR DHAMI"/>
    <s v="MINBAHADUR"/>
    <s v="BISHNA"/>
    <x v="0"/>
    <s v="21845218744"/>
    <s v="X"/>
    <n v="78"/>
    <n v="69"/>
    <n v="46"/>
    <n v="40"/>
    <n v="55"/>
    <n v="49"/>
  </r>
  <r>
    <s v="A063985"/>
    <s v="PUJA RAJARAM JAYSWAL"/>
    <s v="RAJARAM"/>
    <s v="RINKUDEVI"/>
    <x v="1"/>
    <s v="22470424730"/>
    <s v="X"/>
    <n v="48"/>
    <n v="76"/>
    <n v="84"/>
    <n v="45"/>
    <n v="68"/>
    <n v="89"/>
  </r>
  <r>
    <s v="A063986"/>
    <s v="PURVA HANUMANT CHAVHAN"/>
    <s v="HANUMANT"/>
    <s v="ANITA"/>
    <x v="1"/>
    <s v="22206903442"/>
    <s v="X"/>
    <n v="44"/>
    <n v="66"/>
    <n v="76"/>
    <n v="76"/>
    <n v="54"/>
    <n v="88"/>
  </r>
  <r>
    <s v="A063987"/>
    <s v="RITU GAJENDRA RAJPUT"/>
    <s v="GAJENDRA"/>
    <s v="KANWAR"/>
    <x v="1"/>
    <s v="21826820560"/>
    <s v="X"/>
    <n v="84"/>
    <n v="65"/>
    <n v="53"/>
    <n v="50"/>
    <n v="43"/>
    <n v="79"/>
  </r>
  <r>
    <s v="A063988"/>
    <s v="SAH VISHNUKUMAR PRAMOD"/>
    <s v="PRAMOD"/>
    <s v="GAYATRI"/>
    <x v="0"/>
    <s v="22526878469"/>
    <s v="X"/>
    <n v="56"/>
    <n v="87"/>
    <n v="84"/>
    <n v="44"/>
    <n v="86"/>
    <n v="69"/>
  </r>
  <r>
    <s v="A063989"/>
    <s v="SAHARA SATISH SHARMA"/>
    <s v="SATISH"/>
    <s v="SUDHA"/>
    <x v="1"/>
    <s v="22359243955"/>
    <s v="X"/>
    <n v="86"/>
    <n v="68"/>
    <n v="95"/>
    <n v="61"/>
    <n v="85"/>
    <n v="98"/>
  </r>
  <r>
    <s v="A063990"/>
    <s v="SANCHITA SUDHIR DHERANGE"/>
    <s v="SUDHIR"/>
    <s v="SUNITA"/>
    <x v="1"/>
    <s v="21803624270"/>
    <s v="X"/>
    <n v="71"/>
    <n v="96"/>
    <n v="52"/>
    <n v="66"/>
    <n v="46"/>
    <n v="79"/>
  </r>
  <r>
    <s v="A063991"/>
    <s v="SHAHNAWAZ SHAFIQUE ANSARI"/>
    <s v="SHAFIQUE"/>
    <s v="AFSANA"/>
    <x v="0"/>
    <s v="22484196673"/>
    <s v="X"/>
    <n v="94"/>
    <n v="47"/>
    <n v="95"/>
    <n v="62"/>
    <n v="69"/>
    <n v="55"/>
  </r>
  <r>
    <s v="A063992"/>
    <s v="SHASHI SANJAY GUPTA"/>
    <s v="SANJAY"/>
    <s v="MANU"/>
    <x v="0"/>
    <s v="22584737696"/>
    <s v="X"/>
    <n v="61"/>
    <n v="73"/>
    <n v="42"/>
    <n v="91"/>
    <n v="45"/>
    <n v="95"/>
  </r>
  <r>
    <s v="A063993"/>
    <s v="SHRUTI NILESH SHRAVAGI"/>
    <s v="NILESH"/>
    <s v="MALATI"/>
    <x v="1"/>
    <s v="21883209993"/>
    <s v="X"/>
    <n v="51"/>
    <n v="50"/>
    <n v="55"/>
    <n v="56"/>
    <n v="89"/>
    <n v="86"/>
  </r>
  <r>
    <s v="A063994"/>
    <s v="STUTI RAMESH PUJARI"/>
    <s v="RAMESH"/>
    <s v="SEETA"/>
    <x v="1"/>
    <s v="21894726508"/>
    <s v="X"/>
    <n v="44"/>
    <n v="88"/>
    <n v="71"/>
    <n v="97"/>
    <n v="71"/>
    <n v="36"/>
  </r>
  <r>
    <s v="A063995"/>
    <s v="TANIKA HARISH POOJARY"/>
    <s v="HARISH"/>
    <s v="PRIYADARSHANI"/>
    <x v="1"/>
    <s v="22564655059"/>
    <s v="X"/>
    <n v="70"/>
    <n v="56"/>
    <n v="51"/>
    <n v="87"/>
    <n v="66"/>
    <n v="71"/>
  </r>
  <r>
    <s v="A063996"/>
    <s v="TANVI OMNATH KAMBLE"/>
    <s v="OMNATH"/>
    <s v="SWATI"/>
    <x v="1"/>
    <s v="22136278912"/>
    <s v="X"/>
    <n v="67"/>
    <n v="71"/>
    <n v="86"/>
    <n v="64"/>
    <n v="38"/>
    <n v="42"/>
  </r>
  <r>
    <s v="A063997"/>
    <s v="VAISHANAVI VIJAY GHARGE"/>
    <s v="VIJAY"/>
    <s v="LATA"/>
    <x v="1"/>
    <s v="21904099245"/>
    <s v="X"/>
    <n v="77"/>
    <n v="47"/>
    <n v="72"/>
    <n v="48"/>
    <n v="50"/>
    <n v="82"/>
  </r>
  <r>
    <s v="A063998"/>
    <s v="YOGESH RAJESH THORAT"/>
    <s v="RAJESH"/>
    <s v="VANDANA"/>
    <x v="0"/>
    <s v="22401539865"/>
    <s v="X"/>
    <n v="69"/>
    <n v="91"/>
    <n v="88"/>
    <n v="61"/>
    <n v="93"/>
    <n v="51"/>
  </r>
  <r>
    <s v="A063999"/>
    <s v="ZOHA MUJAHID MARUF"/>
    <s v="MUJAHID"/>
    <s v="ASMA"/>
    <x v="1"/>
    <s v="22323011259"/>
    <s v="X"/>
    <n v="63"/>
    <n v="58"/>
    <n v="87"/>
    <n v="61"/>
    <n v="95"/>
    <n v="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A063864"/>
    <s v="ADITYA DIPAK TAPKIR"/>
    <s v="DEEPAK"/>
    <s v="JAYSHREE"/>
    <s v="Male"/>
    <s v="22359638554"/>
    <x v="0"/>
    <n v="57"/>
    <n v="64"/>
    <n v="36"/>
    <n v="54"/>
    <n v="81"/>
    <n v="85"/>
  </r>
  <r>
    <s v="A063865"/>
    <s v="ADITYA JEEVAN SATPUTE"/>
    <s v="JEEVAN"/>
    <s v="SARASWATI"/>
    <s v="Male"/>
    <s v="22111353633"/>
    <x v="0"/>
    <n v="82"/>
    <n v="89"/>
    <n v="85"/>
    <n v="85"/>
    <n v="75"/>
    <n v="43"/>
  </r>
  <r>
    <s v="A063866"/>
    <s v="AFFAN MUJAHID SHAIKH"/>
    <s v="MUJAHID"/>
    <s v="SHAKERA"/>
    <s v="Male"/>
    <s v="21908526402"/>
    <x v="0"/>
    <n v="68"/>
    <n v="48"/>
    <n v="91"/>
    <n v="67"/>
    <n v="90"/>
    <n v="87"/>
  </r>
  <r>
    <s v="A063867"/>
    <s v="ARPITA SURJEET CHAUHAN"/>
    <s v="SURJEET"/>
    <s v="REENA"/>
    <s v="Female"/>
    <s v="21812872480"/>
    <x v="0"/>
    <n v="64"/>
    <n v="85"/>
    <n v="60"/>
    <n v="36"/>
    <n v="58"/>
    <n v="75"/>
  </r>
  <r>
    <s v="A063868"/>
    <s v="DEVIYANI TEJBAHADUR MASTER"/>
    <s v="TEJBAHADUR"/>
    <s v="LALITA"/>
    <s v="Female"/>
    <s v="22221635762"/>
    <x v="0"/>
    <n v="78"/>
    <n v="73"/>
    <n v="43"/>
    <n v="85"/>
    <n v="98"/>
    <n v="82"/>
  </r>
  <r>
    <s v="A063869"/>
    <s v="DIVYA TEJBAHADUR MASTER"/>
    <s v="TEJBAHADUR"/>
    <s v="LALITA"/>
    <s v="Female"/>
    <s v="22106928789"/>
    <x v="0"/>
    <n v="84"/>
    <n v="87"/>
    <n v="46"/>
    <n v="91"/>
    <n v="43"/>
    <n v="43"/>
  </r>
  <r>
    <s v="A063870"/>
    <s v="GITANJALI SHAILESH CHAUHAN"/>
    <s v="SHAILESH"/>
    <s v="ANJU"/>
    <s v="Female"/>
    <s v="21837957653"/>
    <x v="0"/>
    <n v="55"/>
    <n v="93"/>
    <n v="44"/>
    <n v="60"/>
    <n v="51"/>
    <n v="46"/>
  </r>
  <r>
    <s v="A063871"/>
    <s v="HAMZA AMEER KHAN"/>
    <s v="HAMZA"/>
    <s v="NASEEM"/>
    <s v="Male"/>
    <s v="22054189622"/>
    <x v="0"/>
    <n v="77"/>
    <n v="75"/>
    <n v="86"/>
    <n v="70"/>
    <n v="86"/>
    <n v="44"/>
  </r>
  <r>
    <s v="A063872"/>
    <s v="HARISH KIRAN MUTHE"/>
    <s v="DINKAR"/>
    <s v="ARCHANA"/>
    <s v="Male"/>
    <s v="21986400618"/>
    <x v="0"/>
    <n v="71"/>
    <n v="86"/>
    <n v="57"/>
    <n v="90"/>
    <n v="98"/>
    <n v="86"/>
  </r>
  <r>
    <s v="A063873"/>
    <s v="HRISHANT SACHIN JADHAV"/>
    <s v="SACHIN"/>
    <s v="YOGITA"/>
    <s v="Male"/>
    <s v="21992464702"/>
    <x v="0"/>
    <n v="77"/>
    <n v="87"/>
    <n v="82"/>
    <n v="65"/>
    <n v="41"/>
    <n v="49"/>
  </r>
  <r>
    <s v="A063874"/>
    <s v="HUZAIFA WASEEM QURESHI"/>
    <s v="WASEEM"/>
    <s v="KAUSAR"/>
    <s v="Male"/>
    <s v="22272267280"/>
    <x v="0"/>
    <n v="83"/>
    <n v="77"/>
    <n v="68"/>
    <n v="96"/>
    <n v="93"/>
    <n v="82"/>
  </r>
  <r>
    <s v="A063875"/>
    <s v="KARAN KAILASH SINGH"/>
    <s v="KAILASH"/>
    <s v="ANJALI DEVI"/>
    <s v="Male"/>
    <s v="21907488426"/>
    <x v="0"/>
    <n v="79"/>
    <n v="69"/>
    <n v="78"/>
    <n v="75"/>
    <n v="70"/>
    <n v="81"/>
  </r>
  <r>
    <s v="A063876"/>
    <s v="MAYUR MANOJ PATIL"/>
    <s v="MANOJ DEVIDAS"/>
    <s v="SUNITA"/>
    <s v="Male"/>
    <s v="22132934805"/>
    <x v="0"/>
    <n v="52"/>
    <n v="40"/>
    <n v="75"/>
    <n v="51"/>
    <n v="46"/>
    <n v="53"/>
  </r>
  <r>
    <s v="A063877"/>
    <s v="MEHEREEN SAMEER KHAN"/>
    <s v="SAMEER QUYYUM"/>
    <s v="SABA"/>
    <s v="Female"/>
    <s v="22105483384"/>
    <x v="0"/>
    <n v="79"/>
    <n v="75"/>
    <n v="41"/>
    <n v="79"/>
    <n v="68"/>
    <n v="78"/>
  </r>
  <r>
    <s v="A063878"/>
    <s v="MISABA SHABBIR SHAIKH"/>
    <s v="SHABBIR"/>
    <s v="NASEEM"/>
    <s v="Female"/>
    <s v="21922827810"/>
    <x v="0"/>
    <n v="54"/>
    <n v="51"/>
    <n v="73"/>
    <n v="43"/>
    <n v="53"/>
    <n v="63"/>
  </r>
  <r>
    <s v="A063879"/>
    <s v="MUSKAN AMARJEET RAIJI"/>
    <s v="AMARJEET"/>
    <s v="SUMAN"/>
    <s v="Female"/>
    <s v="22185602500"/>
    <x v="0"/>
    <n v="84"/>
    <n v="78"/>
    <n v="47"/>
    <n v="84"/>
    <n v="85"/>
    <n v="86"/>
  </r>
  <r>
    <s v="A063880"/>
    <s v="NAMAN SACHIN KALLA"/>
    <s v="SACHIN"/>
    <s v="DEEPA"/>
    <s v="Male"/>
    <s v="21880352068"/>
    <x v="0"/>
    <n v="66"/>
    <n v="52"/>
    <n v="73"/>
    <n v="77"/>
    <n v="60"/>
    <n v="70"/>
  </r>
  <r>
    <s v="A063881"/>
    <s v="PARTH RAJENDRA DAVANE"/>
    <s v="RAJENDRA"/>
    <s v="MANISHA"/>
    <s v="Male"/>
    <s v="21902788067"/>
    <x v="0"/>
    <n v="85"/>
    <n v="84"/>
    <n v="51"/>
    <n v="76"/>
    <n v="82"/>
    <n v="91"/>
  </r>
  <r>
    <s v="A063882"/>
    <s v="PAYAL RAVINDRASINGH DHILLON"/>
    <s v="RAVINDER HIRA SINGH DHILLON"/>
    <s v="DAMYANTI RAVINDER SINGH DHILLON"/>
    <s v="Female"/>
    <s v="23359526787"/>
    <x v="0"/>
    <n v="59"/>
    <n v="43"/>
    <n v="82"/>
    <n v="48"/>
    <n v="47"/>
    <n v="63"/>
  </r>
  <r>
    <s v="A063883"/>
    <s v="POONAM BHIMSINGH DHAMI"/>
    <s v="BHIMSINGH"/>
    <s v="KOKILA"/>
    <s v="Female"/>
    <s v="22556626498"/>
    <x v="0"/>
    <n v="55"/>
    <n v="43"/>
    <n v="40"/>
    <n v="59"/>
    <n v="44"/>
    <n v="62"/>
  </r>
  <r>
    <s v="A063884"/>
    <s v="PRASAD SAHIL PAWAN"/>
    <s v="PAWAN"/>
    <s v="PRIYA"/>
    <s v="Male"/>
    <s v="21824587048"/>
    <x v="0"/>
    <n v="69"/>
    <n v="64"/>
    <n v="53"/>
    <n v="76"/>
    <n v="63"/>
    <n v="80"/>
  </r>
  <r>
    <s v="A063885"/>
    <s v="PRITI PRAMOD GOND"/>
    <s v="PRAMOD"/>
    <s v="MEERA"/>
    <s v="Female"/>
    <s v="22028352225"/>
    <x v="0"/>
    <n v="77"/>
    <n v="68"/>
    <n v="62"/>
    <n v="77"/>
    <n v="64"/>
    <n v="72"/>
  </r>
  <r>
    <s v="A063886"/>
    <s v="RAHUL OMPRAKASH JANGID"/>
    <s v="OMPRAKASH"/>
    <s v="REKHADEVI"/>
    <s v="Male"/>
    <s v="21926992299"/>
    <x v="0"/>
    <n v="81"/>
    <n v="75"/>
    <n v="69"/>
    <n v="83"/>
    <n v="85"/>
    <n v="87"/>
  </r>
  <r>
    <s v="A063887"/>
    <s v="ROHAN ARUN SUKRE"/>
    <s v="ARUN"/>
    <s v="ASHWINI"/>
    <s v="Male"/>
    <s v="21864017579"/>
    <x v="0"/>
    <n v="66"/>
    <n v="48"/>
    <n v="77"/>
    <n v="39"/>
    <n v="38"/>
    <n v="66"/>
  </r>
  <r>
    <s v="A063888"/>
    <s v="ROHIT CHHATRASAL BAGHEL"/>
    <s v="CHHATRASAL"/>
    <s v="SURAJMUKHI"/>
    <s v="Male"/>
    <s v="21825756135"/>
    <x v="0"/>
    <n v="83"/>
    <n v="79"/>
    <n v="45"/>
    <n v="91"/>
    <n v="84"/>
    <n v="90"/>
  </r>
  <r>
    <s v="A063889"/>
    <s v="ROSHNI CHHATRASAL BAGHEL"/>
    <s v="CHHATRASAL"/>
    <s v="SURAJMUKHI"/>
    <s v="Female"/>
    <s v="21840912884"/>
    <x v="0"/>
    <n v="81"/>
    <n v="78"/>
    <n v="76"/>
    <n v="94"/>
    <n v="88"/>
    <n v="85"/>
  </r>
  <r>
    <s v="A063890"/>
    <s v="RUTIK SURESH SAVEKAR"/>
    <s v="SURESH"/>
    <s v="SUNITA"/>
    <s v="Male"/>
    <s v="22089998776"/>
    <x v="0"/>
    <n v="65"/>
    <n v="50"/>
    <n v="75"/>
    <n v="75"/>
    <n v="70"/>
    <n v="80"/>
  </r>
  <r>
    <s v="A063891"/>
    <s v="SACHIN LADURAM JANGID"/>
    <s v="LADURAM"/>
    <s v="LALITA"/>
    <s v="Male"/>
    <s v="21880364438"/>
    <x v="0"/>
    <n v="59"/>
    <n v="39"/>
    <n v="39"/>
    <n v="38"/>
    <n v="35"/>
    <n v="62"/>
  </r>
  <r>
    <s v="A063892"/>
    <s v="SAFAK SHOIEB SHAIKH"/>
    <s v="SHOIEB"/>
    <s v="FIRDAUS"/>
    <s v="Female"/>
    <s v="22198717110"/>
    <x v="0"/>
    <n v="62"/>
    <n v="35"/>
    <n v="42"/>
    <n v="42"/>
    <n v="47"/>
    <n v="52"/>
  </r>
  <r>
    <s v="A063893"/>
    <s v="SAI GANESH KAMBLE"/>
    <s v="GANESH SUBHASH KAMBLE"/>
    <s v="DIPALI GANESH KAMBLE"/>
    <s v="Female"/>
    <s v="23271176029"/>
    <x v="0"/>
    <n v="83"/>
    <n v="70"/>
    <n v="35"/>
    <n v="64"/>
    <n v="71"/>
    <n v="87"/>
  </r>
  <r>
    <s v="A063894"/>
    <s v="SAMEER JAINUDDIN SHAIKH"/>
    <s v="JAINUDDIN"/>
    <s v="KARIMA"/>
    <s v="Male"/>
    <s v="22130411408"/>
    <x v="0"/>
    <n v="79"/>
    <n v="69"/>
    <n v="82"/>
    <n v="64"/>
    <n v="58"/>
    <n v="62"/>
  </r>
  <r>
    <s v="A063895"/>
    <s v="SHRAMIK SURESH CHOUDHARI"/>
    <s v="SAMEER"/>
    <s v="RENUKA"/>
    <s v="Male"/>
    <s v="21905979143"/>
    <x v="0"/>
    <n v="85"/>
    <n v="72"/>
    <n v="73"/>
    <n v="95"/>
    <n v="85"/>
    <n v="87"/>
  </r>
  <r>
    <s v="A063896"/>
    <s v="SOHAM DHANRAJ AMLE"/>
    <s v="DHANRAJ"/>
    <s v="SARIKA"/>
    <s v="Male"/>
    <s v="22090808485"/>
    <x v="0"/>
    <n v="62"/>
    <n v="59"/>
    <n v="72"/>
    <n v="52"/>
    <n v="67"/>
    <n v="68"/>
  </r>
  <r>
    <s v="A063897"/>
    <s v="SONAKSHI DNYANESHWAR VITKAR"/>
    <s v="DNYANESHWA"/>
    <s v="SARIKA"/>
    <s v="Female"/>
    <s v="21921478464"/>
    <x v="0"/>
    <n v="60"/>
    <n v="54"/>
    <n v="52"/>
    <n v="42"/>
    <n v="38"/>
    <n v="64"/>
  </r>
  <r>
    <s v="A063898"/>
    <s v="SUHAIL AZAD SHAIKH"/>
    <s v="AZAD"/>
    <s v="RASHIDA"/>
    <s v="Male"/>
    <s v="22287125436"/>
    <x v="0"/>
    <n v="77"/>
    <n v="56"/>
    <n v="42"/>
    <n v="75"/>
    <n v="80"/>
    <n v="86"/>
  </r>
  <r>
    <s v="A063899"/>
    <s v="SUSHILA KARANSINGH DHANUK"/>
    <s v="KARANSINGH"/>
    <s v="AMRUTA"/>
    <s v="Female"/>
    <s v="22185686425"/>
    <x v="0"/>
    <n v="73"/>
    <n v="59"/>
    <n v="60"/>
    <n v="66"/>
    <n v="66"/>
    <n v="63"/>
  </r>
  <r>
    <s v="A063900"/>
    <s v="SWARALI MACHINDRA GOPHANE"/>
    <s v="MACCHINDAR"/>
    <s v="ROHINI"/>
    <s v="Female"/>
    <s v="21943676960"/>
    <x v="0"/>
    <n v="74"/>
    <n v="78"/>
    <n v="53"/>
    <n v="93"/>
    <n v="82"/>
    <n v="88"/>
  </r>
  <r>
    <s v="A063901"/>
    <s v="SWAROOPSINGH MANOHARSINGH INDA"/>
    <s v="MANOHARSINGH"/>
    <s v="VIMAL"/>
    <s v="Male"/>
    <s v="22296752726"/>
    <x v="0"/>
    <n v="77"/>
    <n v="71"/>
    <n v="73"/>
    <n v="81"/>
    <n v="69"/>
    <n v="73"/>
  </r>
  <r>
    <s v="A063902"/>
    <s v="VEDANT AWDHESH DUBEY"/>
    <s v="AWDHESH"/>
    <s v="SANDHYA"/>
    <s v="Male"/>
    <s v="22027937532"/>
    <x v="0"/>
    <n v="73"/>
    <n v="55"/>
    <n v="58"/>
    <n v="45"/>
    <n v="49"/>
    <n v="58"/>
  </r>
  <r>
    <s v="A063903"/>
    <s v="VIRAJ BHIMA MHETRE"/>
    <s v="BHIMA"/>
    <s v="ARCHANA"/>
    <s v="Male"/>
    <s v="22102285056"/>
    <x v="0"/>
    <n v="82"/>
    <n v="73"/>
    <n v="60"/>
    <n v="85"/>
    <n v="75"/>
    <n v="78"/>
  </r>
  <r>
    <s v="A063904"/>
    <s v="VIVEK RAJARAM JAISWAL"/>
    <s v="RAJARAM"/>
    <s v="RINKUDEVI"/>
    <s v="Male"/>
    <s v="21997029440"/>
    <x v="0"/>
    <n v="87"/>
    <n v="78"/>
    <n v="60"/>
    <n v="93"/>
    <n v="85"/>
    <n v="86"/>
  </r>
  <r>
    <s v="A063905"/>
    <s v="WOSTI SAINATH MAHANAND"/>
    <s v="MAHANAND"/>
    <s v="KHIMADEVI"/>
    <s v="Male"/>
    <s v="22003934153"/>
    <x v="0"/>
    <n v="57"/>
    <n v="48"/>
    <n v="67"/>
    <n v="62"/>
    <n v="43"/>
    <n v="52"/>
  </r>
  <r>
    <s v="A063906"/>
    <s v="ABHAY VIPIN MISHRA"/>
    <s v="VIPIN"/>
    <s v="ARATI"/>
    <s v="Male"/>
    <s v="21869573363"/>
    <x v="1"/>
    <n v="93"/>
    <n v="88"/>
    <n v="46"/>
    <n v="90"/>
    <n v="92"/>
    <n v="90"/>
  </r>
  <r>
    <s v="A063907"/>
    <s v="ADITYA PARDESHILAL VARMA"/>
    <s v="PARDESHILAL"/>
    <s v="NEHA"/>
    <s v="Male"/>
    <s v="22588135933"/>
    <x v="1"/>
    <n v="69"/>
    <n v="39"/>
    <n v="86"/>
    <n v="57"/>
    <n v="51"/>
    <n v="49"/>
  </r>
  <r>
    <s v="A063908"/>
    <s v="ANIKET NANDPRAKASH GUPTA"/>
    <s v="NANDPRAKASH"/>
    <s v="BHARATI"/>
    <s v="Male"/>
    <s v="21995247690"/>
    <x v="1"/>
    <n v="77"/>
    <n v="68"/>
    <n v="35"/>
    <n v="70"/>
    <n v="70"/>
    <n v="71"/>
  </r>
  <r>
    <s v="A063909"/>
    <s v="ANSH PANKAJ PANDEY"/>
    <s v="PANKAJ"/>
    <s v="MAMTA"/>
    <s v="Male"/>
    <s v="22263194853"/>
    <x v="1"/>
    <n v="78"/>
    <n v="74"/>
    <n v="64"/>
    <n v="77"/>
    <n v="74"/>
    <n v="75"/>
  </r>
  <r>
    <s v="A063910"/>
    <s v="ANUSHKA RAMPRAVESH VISHWAKARMA"/>
    <s v="RAMPRAVESH"/>
    <s v="SUSHMA"/>
    <s v="Female"/>
    <s v="22507804316"/>
    <x v="1"/>
    <n v="74"/>
    <n v="74"/>
    <n v="67"/>
    <n v="81"/>
    <n v="67"/>
    <n v="69"/>
  </r>
  <r>
    <s v="A063911"/>
    <s v="ARPITA RAM SINGH"/>
    <s v="RAM SINGH"/>
    <s v="ANITA"/>
    <s v="Female"/>
    <s v="22068083813"/>
    <x v="1"/>
    <n v="85"/>
    <n v="71"/>
    <n v="80"/>
    <n v="86"/>
    <n v="80"/>
    <n v="91"/>
  </r>
  <r>
    <s v="A063912"/>
    <s v="ASHISH DARMENDRA RAISONI"/>
    <s v="DARMENDRA"/>
    <s v="MANJU"/>
    <s v="Male"/>
    <s v="21887613303"/>
    <x v="1"/>
    <n v="75"/>
    <n v="55"/>
    <n v="82"/>
    <n v="35"/>
    <n v="50"/>
    <n v="53"/>
  </r>
  <r>
    <s v="A063913"/>
    <s v="ASHISH MAHESH CHAUDHARI"/>
    <s v="MAHESH"/>
    <s v="VAISHALI"/>
    <s v="Male"/>
    <s v="21982569366"/>
    <x v="1"/>
    <n v="58"/>
    <n v="35"/>
    <n v="46"/>
    <n v="53"/>
    <n v="47"/>
    <n v="60"/>
  </r>
  <r>
    <s v="A063914"/>
    <s v="ATHARVA ABHIJEET MALIK"/>
    <s v="ABHIJEET"/>
    <s v="AKSHATA"/>
    <s v="Male"/>
    <s v="22370573371"/>
    <x v="1"/>
    <n v="81"/>
    <n v="80"/>
    <n v="39"/>
    <n v="77"/>
    <n v="79"/>
    <n v="80"/>
  </r>
  <r>
    <s v="A063915"/>
    <s v="ATMAJA ANAND ATOLE"/>
    <s v="ANAND"/>
    <s v="JYOTSANA"/>
    <s v="Female"/>
    <s v="22046956402"/>
    <x v="1"/>
    <n v="85"/>
    <n v="83"/>
    <n v="71"/>
    <n v="87"/>
    <n v="88"/>
    <n v="82"/>
  </r>
  <r>
    <s v="A063916"/>
    <s v="AYUSH VIKAS OVHAL"/>
    <s v="VIKAS"/>
    <s v="YOGINI"/>
    <s v="Male"/>
    <s v="21935004272"/>
    <x v="1"/>
    <n v="84"/>
    <n v="82"/>
    <n v="83"/>
    <n v="89"/>
    <n v="87"/>
    <n v="84"/>
  </r>
  <r>
    <s v="A063917"/>
    <s v="BHAGAT SHANKAR SUNAR"/>
    <s v="BHAGAT"/>
    <s v="SAVITA"/>
    <s v="Male"/>
    <s v="22080507767"/>
    <x v="1"/>
    <n v="80"/>
    <n v="61"/>
    <n v="77"/>
    <n v="59"/>
    <n v="53"/>
    <n v="64"/>
  </r>
  <r>
    <s v="A063918"/>
    <s v="CHIRAG SHANKARLAL MALVIYA"/>
    <s v="SHANKARLAL"/>
    <s v="PRAKASHDEVI"/>
    <s v="Male"/>
    <s v="22079659305"/>
    <x v="1"/>
    <n v="75"/>
    <n v="68"/>
    <n v="51"/>
    <n v="70"/>
    <n v="76"/>
    <n v="68"/>
  </r>
  <r>
    <s v="A063919"/>
    <s v="DEEPANSHI SATISH SINGH"/>
    <s v="SATISH"/>
    <s v="SEEMA"/>
    <s v="Female"/>
    <s v="22435743112"/>
    <x v="1"/>
    <n v="79"/>
    <n v="74"/>
    <n v="60"/>
    <n v="74"/>
    <n v="65"/>
    <n v="66"/>
  </r>
  <r>
    <s v="A063920"/>
    <s v="DHANUSH PRASAD NAMBIAR"/>
    <s v="PRASAD"/>
    <s v="DEEPALI"/>
    <s v="Male"/>
    <s v="21968994612"/>
    <x v="1"/>
    <n v="76"/>
    <n v="45"/>
    <n v="59"/>
    <n v="75"/>
    <n v="54"/>
    <n v="59"/>
  </r>
  <r>
    <s v="A063921"/>
    <s v="DIKSHITA PREMCHAND RAYSONI"/>
    <s v="PREMCHAND"/>
    <s v="PINKY"/>
    <s v="Female"/>
    <s v="21825361208"/>
    <x v="1"/>
    <n v="67"/>
    <n v="56"/>
    <n v="57"/>
    <n v="35"/>
    <n v="47"/>
    <n v="98"/>
  </r>
  <r>
    <s v="A063922"/>
    <s v="GUPTA TARKESHWAR PRATIK"/>
    <s v="TARKESHWAR"/>
    <s v="SARITA"/>
    <s v="Male"/>
    <s v="22203161815"/>
    <x v="1"/>
    <n v="96"/>
    <n v="75"/>
    <n v="88"/>
    <n v="50"/>
    <n v="89"/>
    <n v="98"/>
  </r>
  <r>
    <s v="A063923"/>
    <s v="JAINUL ALDIN VASIMRAJA SHAH"/>
    <s v="VASIMRAJA"/>
    <s v="NASIMBANO"/>
    <s v="Male"/>
    <s v="21810511524"/>
    <x v="1"/>
    <n v="82"/>
    <n v="50"/>
    <n v="45"/>
    <n v="57"/>
    <n v="98"/>
    <n v="59"/>
  </r>
  <r>
    <s v="A063924"/>
    <s v="JAYASHREE GAJENDRA RAJPUT"/>
    <s v="GAJENDRA"/>
    <s v="NEMUNKANWAR"/>
    <s v="Female"/>
    <s v="22228268279"/>
    <x v="1"/>
    <n v="80"/>
    <n v="52"/>
    <n v="93"/>
    <n v="44"/>
    <n v="67"/>
    <n v="98"/>
  </r>
  <r>
    <s v="A063925"/>
    <s v="KHUSHBHU BHUNDRAM PARMAR"/>
    <s v="BHUNDRAM"/>
    <s v="LEELA"/>
    <s v="Female"/>
    <s v="21883211663"/>
    <x v="1"/>
    <n v="92"/>
    <n v="84"/>
    <n v="56"/>
    <n v="75"/>
    <n v="54"/>
    <n v="79"/>
  </r>
  <r>
    <s v="A063926"/>
    <s v="LUCKY SANJAY THAPA"/>
    <s v="SANJAY"/>
    <s v="CHETKUMARI"/>
    <s v="Male"/>
    <s v="21874549778"/>
    <x v="1"/>
    <n v="69"/>
    <n v="82"/>
    <n v="42"/>
    <n v="76"/>
    <n v="96"/>
    <n v="76"/>
  </r>
  <r>
    <s v="A063927"/>
    <s v="MANAS VALMIK BORSE"/>
    <s v="VALMIK"/>
    <s v="JYOTI"/>
    <s v="Male"/>
    <s v="21853946679"/>
    <x v="1"/>
    <n v="53"/>
    <n v="52"/>
    <n v="43"/>
    <n v="92"/>
    <n v="58"/>
    <n v="65"/>
  </r>
  <r>
    <s v="A063928"/>
    <s v="MANISHA DALARAM SIRVI"/>
    <s v="DOLARAM"/>
    <s v="VIMALA"/>
    <s v="Female"/>
    <s v="21928176441"/>
    <x v="1"/>
    <n v="50"/>
    <n v="74"/>
    <n v="61"/>
    <n v="47"/>
    <n v="44"/>
    <n v="92"/>
  </r>
  <r>
    <s v="A063929"/>
    <s v="MOHINI RAJU KANERIYA"/>
    <s v="RAJU"/>
    <s v="POONAM"/>
    <s v="Female"/>
    <s v="22094500432"/>
    <x v="1"/>
    <n v="38"/>
    <n v="64"/>
    <n v="50"/>
    <n v="45"/>
    <n v="47"/>
    <n v="93"/>
  </r>
  <r>
    <s v="A063930"/>
    <s v="NAIR AKASH VINOD"/>
    <s v="VINOD"/>
    <s v="RAJI"/>
    <s v="Male"/>
    <s v="22054203571"/>
    <x v="1"/>
    <n v="82"/>
    <n v="67"/>
    <n v="76"/>
    <n v="92"/>
    <n v="67"/>
    <n v="57"/>
  </r>
  <r>
    <s v="A063931"/>
    <s v="NAITIK SURESH SINGH"/>
    <s v="SURESH"/>
    <s v="PRATIBHA"/>
    <s v="Male"/>
    <s v="21857314914"/>
    <x v="1"/>
    <n v="87"/>
    <n v="44"/>
    <n v="97"/>
    <n v="50"/>
    <n v="81"/>
    <n v="79"/>
  </r>
  <r>
    <s v="A063932"/>
    <s v="NEHA KAILASH SINGH"/>
    <s v="KAILASH"/>
    <s v="ANJALI"/>
    <s v="Female"/>
    <s v="21931447318"/>
    <x v="1"/>
    <n v="45"/>
    <n v="48"/>
    <n v="72"/>
    <n v="49"/>
    <n v="64"/>
    <n v="67"/>
  </r>
  <r>
    <s v="A063933"/>
    <s v="NIRANJAN MAHADEV BANSODE"/>
    <s v="MAHADEV"/>
    <s v="POURNIMA"/>
    <s v="Male"/>
    <s v="22139067674"/>
    <x v="1"/>
    <n v="78"/>
    <n v="76"/>
    <n v="64"/>
    <n v="62"/>
    <n v="83"/>
    <n v="59"/>
  </r>
  <r>
    <s v="A063934"/>
    <s v="PRADNYA SUSHIL GAVALI"/>
    <s v="SUSHIL"/>
    <s v="PRATIMA"/>
    <s v="Female"/>
    <s v="22192604389"/>
    <x v="1"/>
    <n v="45"/>
    <n v="67"/>
    <n v="58"/>
    <n v="40"/>
    <n v="59"/>
    <n v="54"/>
  </r>
  <r>
    <s v="A063935"/>
    <s v="RITIKA PAVANKUMAR GARG"/>
    <s v="PAVANKUMAR"/>
    <s v="POONAM"/>
    <s v="Female"/>
    <s v="22172239653"/>
    <x v="1"/>
    <n v="81"/>
    <n v="92"/>
    <n v="60"/>
    <n v="82"/>
    <n v="90"/>
    <n v="85"/>
  </r>
  <r>
    <s v="A063936"/>
    <s v="RIYA ASHOK JAISWAL"/>
    <s v="ASHOK"/>
    <s v="SANJU"/>
    <s v="Female"/>
    <s v="21821270576"/>
    <x v="1"/>
    <n v="81"/>
    <n v="51"/>
    <n v="95"/>
    <n v="70"/>
    <n v="39"/>
    <n v="98"/>
  </r>
  <r>
    <s v="A063937"/>
    <s v="SAI BABU CHATRE"/>
    <s v="BABU"/>
    <s v="RESHMA"/>
    <s v="Male"/>
    <s v="21892789027"/>
    <x v="1"/>
    <n v="96"/>
    <n v="64"/>
    <n v="75"/>
    <n v="39"/>
    <n v="85"/>
    <n v="88"/>
  </r>
  <r>
    <s v="A063938"/>
    <s v="SAMRUDDHI VIJAY TAMBE"/>
    <s v="VIJAY"/>
    <s v="ANATIA"/>
    <s v="Female"/>
    <s v="22035581027"/>
    <x v="1"/>
    <n v="91"/>
    <n v="38"/>
    <n v="83"/>
    <n v="78"/>
    <n v="85"/>
    <n v="46"/>
  </r>
  <r>
    <s v="A063939"/>
    <s v="SANTOSH KANKESH CHAVAN"/>
    <s v="SANTOSH"/>
    <s v="VIJAYALAKSHAMI"/>
    <s v="Male"/>
    <s v="22494037826"/>
    <x v="1"/>
    <n v="78"/>
    <n v="38"/>
    <n v="90"/>
    <n v="35"/>
    <n v="48"/>
    <n v="72"/>
  </r>
  <r>
    <s v="A063940"/>
    <s v="SIDDHI JOGINDER SHARMA"/>
    <s v="JOGINDER"/>
    <s v="SUNITA"/>
    <s v="Female"/>
    <s v="22041980692"/>
    <x v="1"/>
    <n v="53"/>
    <n v="80"/>
    <n v="76"/>
    <n v="55"/>
    <n v="86"/>
    <n v="79"/>
  </r>
  <r>
    <s v="A063941"/>
    <s v="SIFA MUSTAFA ANSARI"/>
    <s v="MUSTAFA"/>
    <s v="SALEHA"/>
    <s v="Female"/>
    <s v="22317977616"/>
    <x v="1"/>
    <n v="98"/>
    <n v="45"/>
    <n v="47"/>
    <n v="82"/>
    <n v="76"/>
    <n v="96"/>
  </r>
  <r>
    <s v="A063942"/>
    <s v="SUFIYAN NIZAMUDDIN KHAN"/>
    <s v="NIZAMUDDIN"/>
    <s v="SHAHIN"/>
    <s v="Male"/>
    <s v="22597242773"/>
    <x v="1"/>
    <n v="83"/>
    <n v="86"/>
    <n v="92"/>
    <n v="83"/>
    <n v="71"/>
    <n v="76"/>
  </r>
  <r>
    <s v="A063943"/>
    <s v="TAHURA ZUBER SHAIKH"/>
    <s v="ZUBER"/>
    <s v="SHABANA"/>
    <s v="Female"/>
    <s v="22461851768"/>
    <x v="1"/>
    <n v="63"/>
    <n v="46"/>
    <n v="86"/>
    <n v="60"/>
    <n v="64"/>
    <n v="50"/>
  </r>
  <r>
    <s v="A063944"/>
    <s v="TANVI AMOL PHADKE"/>
    <s v="AMOL"/>
    <s v="VARSHA"/>
    <s v="Female"/>
    <s v="22341340331"/>
    <x v="1"/>
    <n v="44"/>
    <n v="72"/>
    <n v="52"/>
    <n v="51"/>
    <n v="54"/>
    <n v="52"/>
  </r>
  <r>
    <s v="A063945"/>
    <s v="UMMEHANI MOHAMMEDRASUL PASHA"/>
    <s v="MOHAMMEDRASUL"/>
    <s v="NOORFROJ"/>
    <s v="Female"/>
    <s v="21846355489"/>
    <x v="1"/>
    <n v="91"/>
    <n v="56"/>
    <n v="50"/>
    <n v="57"/>
    <n v="66"/>
    <n v="59"/>
  </r>
  <r>
    <s v="A063946"/>
    <s v="VAIBHAVI CHANDRAPRAKASH JADHAV"/>
    <s v="CHANDRAPRAKASH"/>
    <s v="SANGITA"/>
    <s v="Female"/>
    <s v="21846797545"/>
    <x v="1"/>
    <n v="92"/>
    <n v="71"/>
    <n v="44"/>
    <n v="57"/>
    <n v="40"/>
    <n v="66"/>
  </r>
  <r>
    <s v="A063947"/>
    <s v="VAIBHAVI PRADIP PATIL"/>
    <s v="PRADIP"/>
    <s v="JYOTI"/>
    <s v="Female"/>
    <s v="21969455201"/>
    <x v="1"/>
    <n v="59"/>
    <n v="60"/>
    <n v="41"/>
    <n v="45"/>
    <n v="61"/>
    <n v="58"/>
  </r>
  <r>
    <s v="A063948"/>
    <s v="VAIDEHI PRADIP PATIL"/>
    <s v="PRADIP"/>
    <s v="JYOTI"/>
    <s v="Female"/>
    <s v="21805369106"/>
    <x v="1"/>
    <n v="49"/>
    <n v="83"/>
    <n v="79"/>
    <n v="85"/>
    <n v="84"/>
    <n v="82"/>
  </r>
  <r>
    <s v="A063949"/>
    <s v="VAISHNAVI RAJU VANDAGAL"/>
    <s v="RAJU"/>
    <s v="VIMAL"/>
    <s v="Female"/>
    <s v="21902996301"/>
    <x v="1"/>
    <n v="55"/>
    <n v="96"/>
    <n v="95"/>
    <n v="82"/>
    <n v="87"/>
    <n v="84"/>
  </r>
  <r>
    <s v="A063950"/>
    <s v="VEDANT RAHUL PUJARI"/>
    <s v="RAHUL"/>
    <s v="PRIYANKA"/>
    <s v="Male"/>
    <s v="21850077755"/>
    <x v="1"/>
    <n v="50"/>
    <n v="93"/>
    <n v="47"/>
    <n v="48"/>
    <n v="77"/>
    <n v="87"/>
  </r>
  <r>
    <s v="A063951"/>
    <s v="ZEENAT TASLIM HAJARATBHAI"/>
    <s v="TASLIM"/>
    <s v="ZAHURA"/>
    <s v="Female"/>
    <s v="22025586897"/>
    <x v="1"/>
    <n v="87"/>
    <n v="56"/>
    <n v="38"/>
    <n v="36"/>
    <n v="41"/>
    <n v="95"/>
  </r>
  <r>
    <s v="A063952"/>
    <s v="AAMIR RAMZAN SHAIKH"/>
    <s v="RAMZAN"/>
    <s v="NASEEM"/>
    <s v="Male"/>
    <s v="21894570455"/>
    <x v="2"/>
    <n v="66"/>
    <n v="88"/>
    <n v="91"/>
    <n v="39"/>
    <n v="94"/>
    <n v="98"/>
  </r>
  <r>
    <s v="A063953"/>
    <s v="ABHISHEK KRISHNA AMKING"/>
    <s v="KRISHNA"/>
    <s v="REEBIKA"/>
    <s v="Male"/>
    <s v="21853710755"/>
    <x v="2"/>
    <n v="84"/>
    <n v="81"/>
    <n v="57"/>
    <n v="35"/>
    <n v="40"/>
    <n v="87"/>
  </r>
  <r>
    <s v="A063954"/>
    <s v="ADITYA SACHIN VITEKAR"/>
    <s v="SACHIN"/>
    <s v="MANISHA"/>
    <s v="Male"/>
    <s v="21820820336"/>
    <x v="2"/>
    <n v="56"/>
    <n v="79"/>
    <n v="53"/>
    <n v="44"/>
    <n v="70"/>
    <n v="51"/>
  </r>
  <r>
    <s v="A063955"/>
    <s v="AKSHARA PRADEEP JAISWAR"/>
    <s v="PRADEEP"/>
    <s v="INDU"/>
    <s v="Female"/>
    <s v="22162019555"/>
    <x v="2"/>
    <n v="77"/>
    <n v="35"/>
    <n v="63"/>
    <n v="60"/>
    <n v="84"/>
    <n v="86"/>
  </r>
  <r>
    <s v="A063956"/>
    <s v="ANJALI ASHISHKUMAR AGARWAL"/>
    <s v="ASHISH"/>
    <s v="VEENA"/>
    <s v="Female"/>
    <s v="22408942695"/>
    <x v="2"/>
    <n v="72"/>
    <n v="43"/>
    <n v="69"/>
    <n v="70"/>
    <n v="52"/>
    <n v="51"/>
  </r>
  <r>
    <s v="A063957"/>
    <s v="ANKITA VITTHAL BORSE"/>
    <s v="VITTHAL"/>
    <s v="MUKTABAI"/>
    <s v="Female"/>
    <s v="21819952474"/>
    <x v="2"/>
    <n v="77"/>
    <n v="62"/>
    <n v="41"/>
    <n v="61"/>
    <n v="83"/>
    <n v="37"/>
  </r>
  <r>
    <s v="A063958"/>
    <s v="ANSARI AJAM SHAUKAT"/>
    <s v="SHAUKAT"/>
    <s v="ISHRAT"/>
    <s v="Male"/>
    <s v="21979644395"/>
    <x v="2"/>
    <n v="66"/>
    <n v="54"/>
    <n v="69"/>
    <n v="88"/>
    <n v="90"/>
    <n v="91"/>
  </r>
  <r>
    <s v="A063959"/>
    <s v="ATHARVA DINESH MISHRA"/>
    <s v="DINESH"/>
    <s v="RANJANA"/>
    <s v="Male"/>
    <s v="22338958078"/>
    <x v="2"/>
    <n v="83"/>
    <n v="52"/>
    <n v="42"/>
    <n v="40"/>
    <n v="85"/>
    <n v="83"/>
  </r>
  <r>
    <s v="A063960"/>
    <s v="BAM DEEPIKA KRISHNA"/>
    <s v="KRISHNA"/>
    <s v="DIVYA"/>
    <s v="Female"/>
    <s v="22128135637"/>
    <x v="2"/>
    <n v="77"/>
    <n v="77"/>
    <n v="59"/>
    <n v="82"/>
    <n v="76"/>
    <n v="94"/>
  </r>
  <r>
    <s v="A063961"/>
    <s v="BHAGYASHRI PRASHANT AMBILWADE"/>
    <s v="PRASHANT"/>
    <s v="MADHURI"/>
    <s v="Female"/>
    <s v="21802270733"/>
    <x v="2"/>
    <n v="83"/>
    <n v="47"/>
    <n v="38"/>
    <n v="51"/>
    <n v="75"/>
    <n v="85"/>
  </r>
  <r>
    <s v="A063962"/>
    <s v="BHATT GAURAV TILAK"/>
    <s v="TILAK"/>
    <s v="BABITA"/>
    <s v="Male"/>
    <s v="22179470776"/>
    <x v="2"/>
    <n v="51"/>
    <n v="71"/>
    <n v="39"/>
    <n v="80"/>
    <n v="42"/>
    <n v="87"/>
  </r>
  <r>
    <s v="A063963"/>
    <s v="DAMODAR KUMAR UDAY DANGI"/>
    <s v="UDAY"/>
    <s v="KUNTI"/>
    <s v="Male"/>
    <s v="21884195468"/>
    <x v="2"/>
    <n v="91"/>
    <n v="91"/>
    <n v="64"/>
    <n v="50"/>
    <n v="97"/>
    <n v="62"/>
  </r>
  <r>
    <s v="A063964"/>
    <s v="DISHA DAMODAR KUKEN"/>
    <s v="DAMODAR"/>
    <s v="SUSHMA"/>
    <s v="Female"/>
    <s v="22281674198"/>
    <x v="2"/>
    <n v="76"/>
    <n v="35"/>
    <n v="40"/>
    <n v="98"/>
    <n v="58"/>
    <n v="66"/>
  </r>
  <r>
    <s v="A063965"/>
    <s v="FARHAT SHAKILAHAMAD MULLA"/>
    <s v="SHAKILAHAMAD"/>
    <s v="AFSEEN"/>
    <s v="Female"/>
    <s v="22096957182"/>
    <x v="2"/>
    <n v="88"/>
    <n v="80"/>
    <n v="46"/>
    <n v="93"/>
    <n v="75"/>
    <n v="88"/>
  </r>
  <r>
    <s v="A063966"/>
    <s v="HARSHIT DASHRATH LAL VISHWAKARMA"/>
    <s v="DASHRATHLAL"/>
    <s v="LAXMI"/>
    <s v="Male"/>
    <s v="22210348175"/>
    <x v="2"/>
    <n v="71"/>
    <n v="66"/>
    <n v="62"/>
    <n v="36"/>
    <n v="54"/>
    <n v="93"/>
  </r>
  <r>
    <s v="A063967"/>
    <s v="HARSHIT RATNESH PANDEY"/>
    <s v="RATNESH"/>
    <s v="ANITA"/>
    <s v="Male"/>
    <s v="22587407178"/>
    <x v="2"/>
    <n v="88"/>
    <n v="36"/>
    <n v="98"/>
    <n v="51"/>
    <n v="39"/>
    <n v="59"/>
  </r>
  <r>
    <s v="A063968"/>
    <s v="INDA DIMPALKANWAR JABARSINGH"/>
    <s v="JABARSUNGH"/>
    <s v="RAWAL"/>
    <s v="Female"/>
    <s v="21896395591"/>
    <x v="2"/>
    <n v="48"/>
    <n v="68"/>
    <n v="96"/>
    <n v="93"/>
    <n v="44"/>
    <n v="98"/>
  </r>
  <r>
    <s v="A063969"/>
    <s v="JAISWAR ISHA SIKANDAR"/>
    <s v="SIKANDAR"/>
    <s v="ANITA"/>
    <s v="Female"/>
    <s v="22379409931"/>
    <x v="2"/>
    <n v="50"/>
    <n v="96"/>
    <n v="73"/>
    <n v="58"/>
    <n v="84"/>
    <n v="49"/>
  </r>
  <r>
    <s v="A063970"/>
    <s v="KAMBLE RASIKA MITHU"/>
    <s v="MITHU"/>
    <s v="AAMRAPALI"/>
    <s v="Female"/>
    <s v="22347487366"/>
    <x v="2"/>
    <n v="82"/>
    <n v="79"/>
    <n v="69"/>
    <n v="81"/>
    <n v="59"/>
    <n v="60"/>
  </r>
  <r>
    <s v="A063971"/>
    <s v="KASHISH RAJAN GUPTA"/>
    <s v="RAJAN"/>
    <s v="MANA"/>
    <s v="Female"/>
    <s v="21971336606"/>
    <x v="2"/>
    <n v="46"/>
    <n v="67"/>
    <n v="97"/>
    <n v="52"/>
    <n v="35"/>
    <n v="49"/>
  </r>
  <r>
    <s v="A063972"/>
    <s v="KIRAN GOVIND SHINDE"/>
    <s v="GOVIND"/>
    <s v="MEERA"/>
    <s v="Female"/>
    <s v="21916053054"/>
    <x v="2"/>
    <n v="83"/>
    <n v="85"/>
    <n v="46"/>
    <n v="55"/>
    <n v="70"/>
    <n v="53"/>
  </r>
  <r>
    <s v="A063973"/>
    <s v="KRISHNA MOHANSINGH BISHT"/>
    <s v="MOHANSINGH"/>
    <s v="JANKI"/>
    <s v="Male"/>
    <s v="22250191197"/>
    <x v="2"/>
    <n v="49"/>
    <n v="63"/>
    <n v="53"/>
    <n v="43"/>
    <n v="62"/>
    <n v="39"/>
  </r>
  <r>
    <s v="A063974"/>
    <s v="MANISH ISHWAR SONAWANE"/>
    <s v="ISHWAR"/>
    <s v="ALKA"/>
    <s v="Male"/>
    <s v="22522009312"/>
    <x v="2"/>
    <n v="40"/>
    <n v="43"/>
    <n v="80"/>
    <n v="64"/>
    <n v="42"/>
    <n v="42"/>
  </r>
  <r>
    <s v="A063975"/>
    <s v="MISHRA NIDHI VIPIN"/>
    <s v="VIPIN"/>
    <s v="AARTI"/>
    <s v="Female"/>
    <s v="21949666950"/>
    <x v="2"/>
    <n v="86"/>
    <n v="86"/>
    <n v="45"/>
    <n v="47"/>
    <n v="40"/>
    <n v="96"/>
  </r>
  <r>
    <s v="A063976"/>
    <s v="MOHHAMADJAID MANSUR BHALDAR"/>
    <s v="MANSUR"/>
    <s v="MINAJ"/>
    <s v="Male"/>
    <s v="22071355747"/>
    <x v="2"/>
    <n v="43"/>
    <n v="55"/>
    <n v="41"/>
    <n v="47"/>
    <n v="66"/>
    <n v="63"/>
  </r>
  <r>
    <s v="A063977"/>
    <s v="NAITIK BRIJESH SINGH"/>
    <s v="BRIJESH"/>
    <s v="SUDHA"/>
    <s v="Male"/>
    <s v="21886187510"/>
    <x v="2"/>
    <n v="40"/>
    <n v="77"/>
    <n v="65"/>
    <n v="77"/>
    <n v="54"/>
    <n v="36"/>
  </r>
  <r>
    <s v="A063978"/>
    <s v="PANDEY ABHIJIT PUSHPADHAR"/>
    <s v="PUSPADHAR"/>
    <s v="ANJU"/>
    <s v="Male"/>
    <s v="21815282763"/>
    <x v="2"/>
    <n v="40"/>
    <n v="57"/>
    <n v="69"/>
    <n v="90"/>
    <n v="51"/>
    <n v="61"/>
  </r>
  <r>
    <s v="A063979"/>
    <s v="PATIL RAJ NAMADEV"/>
    <s v="NAMDEV"/>
    <s v="SHWETA"/>
    <s v="Male"/>
    <s v="22274110879"/>
    <x v="2"/>
    <n v="56"/>
    <n v="61"/>
    <n v="55"/>
    <n v="83"/>
    <n v="55"/>
    <n v="77"/>
  </r>
  <r>
    <s v="A063980"/>
    <s v="PRACHI SUBHASH KORI"/>
    <s v="SUBHASH"/>
    <s v="ANJU"/>
    <s v="Female"/>
    <s v="22204954213"/>
    <x v="2"/>
    <n v="37"/>
    <n v="36"/>
    <n v="37"/>
    <n v="81"/>
    <n v="39"/>
    <n v="64"/>
  </r>
  <r>
    <s v="A063981"/>
    <s v="PRANAY OMPRAKASH JAISWAR"/>
    <s v="OMPRAKASH"/>
    <s v="SEEMA"/>
    <s v="Male"/>
    <s v="22001209758"/>
    <x v="2"/>
    <n v="42"/>
    <n v="77"/>
    <n v="66"/>
    <n v="42"/>
    <n v="44"/>
    <n v="64"/>
  </r>
  <r>
    <s v="A063982"/>
    <s v="PRAPTI DIGAMBAR SATPUTE"/>
    <s v="DIGAMBAR"/>
    <s v="SHAKUNTALE"/>
    <s v="Female"/>
    <s v="21941767419"/>
    <x v="2"/>
    <n v="56"/>
    <n v="93"/>
    <n v="96"/>
    <n v="82"/>
    <n v="71"/>
    <n v="55"/>
  </r>
  <r>
    <s v="A063983"/>
    <s v="PRASAD SALONI PAWAN"/>
    <s v="PAWAN"/>
    <s v="PRIYA"/>
    <s v="Female"/>
    <s v="22089979462"/>
    <x v="2"/>
    <n v="84"/>
    <n v="98"/>
    <n v="54"/>
    <n v="68"/>
    <n v="87"/>
    <n v="46"/>
  </r>
  <r>
    <s v="A063984"/>
    <s v="PREM MINBAHADUR DHAMI"/>
    <s v="MINBAHADUR"/>
    <s v="BISHNA"/>
    <s v="Male"/>
    <s v="21845218744"/>
    <x v="2"/>
    <n v="78"/>
    <n v="69"/>
    <n v="46"/>
    <n v="40"/>
    <n v="55"/>
    <n v="49"/>
  </r>
  <r>
    <s v="A063985"/>
    <s v="PUJA RAJARAM JAYSWAL"/>
    <s v="RAJARAM"/>
    <s v="RINKUDEVI"/>
    <s v="Female"/>
    <s v="22470424730"/>
    <x v="2"/>
    <n v="48"/>
    <n v="76"/>
    <n v="84"/>
    <n v="45"/>
    <n v="68"/>
    <n v="89"/>
  </r>
  <r>
    <s v="A063986"/>
    <s v="PURVA HANUMANT CHAVHAN"/>
    <s v="HANUMANT"/>
    <s v="ANITA"/>
    <s v="Female"/>
    <s v="22206903442"/>
    <x v="2"/>
    <n v="44"/>
    <n v="66"/>
    <n v="76"/>
    <n v="76"/>
    <n v="54"/>
    <n v="88"/>
  </r>
  <r>
    <s v="A063987"/>
    <s v="RITU GAJENDRA RAJPUT"/>
    <s v="GAJENDRA"/>
    <s v="KANWAR"/>
    <s v="Female"/>
    <s v="21826820560"/>
    <x v="2"/>
    <n v="84"/>
    <n v="65"/>
    <n v="53"/>
    <n v="50"/>
    <n v="43"/>
    <n v="79"/>
  </r>
  <r>
    <s v="A063988"/>
    <s v="SAH VISHNUKUMAR PRAMOD"/>
    <s v="PRAMOD"/>
    <s v="GAYATRI"/>
    <s v="Male"/>
    <s v="22526878469"/>
    <x v="2"/>
    <n v="56"/>
    <n v="87"/>
    <n v="84"/>
    <n v="44"/>
    <n v="86"/>
    <n v="69"/>
  </r>
  <r>
    <s v="A063989"/>
    <s v="SAHARA SATISH SHARMA"/>
    <s v="SATISH"/>
    <s v="SUDHA"/>
    <s v="Female"/>
    <s v="22359243955"/>
    <x v="2"/>
    <n v="86"/>
    <n v="68"/>
    <n v="95"/>
    <n v="61"/>
    <n v="85"/>
    <n v="98"/>
  </r>
  <r>
    <s v="A063990"/>
    <s v="SANCHITA SUDHIR DHERANGE"/>
    <s v="SUDHIR"/>
    <s v="SUNITA"/>
    <s v="Female"/>
    <s v="21803624270"/>
    <x v="2"/>
    <n v="71"/>
    <n v="96"/>
    <n v="52"/>
    <n v="66"/>
    <n v="46"/>
    <n v="79"/>
  </r>
  <r>
    <s v="A063991"/>
    <s v="SHAHNAWAZ SHAFIQUE ANSARI"/>
    <s v="SHAFIQUE"/>
    <s v="AFSANA"/>
    <s v="Male"/>
    <s v="22484196673"/>
    <x v="2"/>
    <n v="94"/>
    <n v="47"/>
    <n v="95"/>
    <n v="62"/>
    <n v="69"/>
    <n v="55"/>
  </r>
  <r>
    <s v="A063992"/>
    <s v="SHASHI SANJAY GUPTA"/>
    <s v="SANJAY"/>
    <s v="MANU"/>
    <s v="Male"/>
    <s v="22584737696"/>
    <x v="2"/>
    <n v="61"/>
    <n v="73"/>
    <n v="42"/>
    <n v="91"/>
    <n v="45"/>
    <n v="95"/>
  </r>
  <r>
    <s v="A063993"/>
    <s v="SHRUTI NILESH SHRAVAGI"/>
    <s v="NILESH"/>
    <s v="MALATI"/>
    <s v="Female"/>
    <s v="21883209993"/>
    <x v="2"/>
    <n v="51"/>
    <n v="50"/>
    <n v="55"/>
    <n v="56"/>
    <n v="89"/>
    <n v="86"/>
  </r>
  <r>
    <s v="A063994"/>
    <s v="STUTI RAMESH PUJARI"/>
    <s v="RAMESH"/>
    <s v="SEETA"/>
    <s v="Female"/>
    <s v="21894726508"/>
    <x v="2"/>
    <n v="44"/>
    <n v="88"/>
    <n v="71"/>
    <n v="97"/>
    <n v="71"/>
    <n v="36"/>
  </r>
  <r>
    <s v="A063995"/>
    <s v="TANIKA HARISH POOJARY"/>
    <s v="HARISH"/>
    <s v="PRIYADARSHANI"/>
    <s v="Female"/>
    <s v="22564655059"/>
    <x v="2"/>
    <n v="70"/>
    <n v="56"/>
    <n v="51"/>
    <n v="87"/>
    <n v="66"/>
    <n v="71"/>
  </r>
  <r>
    <s v="A063996"/>
    <s v="TANVI OMNATH KAMBLE"/>
    <s v="OMNATH"/>
    <s v="SWATI"/>
    <s v="Female"/>
    <s v="22136278912"/>
    <x v="2"/>
    <n v="67"/>
    <n v="71"/>
    <n v="86"/>
    <n v="64"/>
    <n v="38"/>
    <n v="42"/>
  </r>
  <r>
    <s v="A063997"/>
    <s v="VAISHANAVI VIJAY GHARGE"/>
    <s v="VIJAY"/>
    <s v="LATA"/>
    <s v="Female"/>
    <s v="21904099245"/>
    <x v="2"/>
    <n v="77"/>
    <n v="47"/>
    <n v="72"/>
    <n v="48"/>
    <n v="50"/>
    <n v="82"/>
  </r>
  <r>
    <s v="A063998"/>
    <s v="YOGESH RAJESH THORAT"/>
    <s v="RAJESH"/>
    <s v="VANDANA"/>
    <s v="Male"/>
    <s v="22401539865"/>
    <x v="2"/>
    <n v="69"/>
    <n v="91"/>
    <n v="88"/>
    <n v="61"/>
    <n v="93"/>
    <n v="51"/>
  </r>
  <r>
    <s v="A063999"/>
    <s v="ZOHA MUJAHID MARUF"/>
    <s v="MUJAHID"/>
    <s v="ASMA"/>
    <s v="Female"/>
    <s v="22323011259"/>
    <x v="2"/>
    <n v="63"/>
    <n v="58"/>
    <n v="87"/>
    <n v="61"/>
    <n v="95"/>
    <n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3621A-9550-43F7-8061-9EE501A3834D}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2">
  <location ref="B25:C28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Class" axis="axisRow" dataField="1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Number of Students " fld="6" subtotal="count" baseField="0" baseItem="0"/>
  </dataFields>
  <formats count="35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6" type="button" dataOnly="0" labelOnly="1" outline="0" axis="axisRow" fieldPosition="0"/>
    </format>
    <format dxfId="56">
      <pivotArea dataOnly="0" labelOnly="1" outline="0" fieldPosition="0">
        <references count="1">
          <reference field="6" count="0"/>
        </references>
      </pivotArea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6" type="button" dataOnly="0" labelOnly="1" outline="0" axis="axisRow" fieldPosition="0"/>
    </format>
    <format dxfId="51">
      <pivotArea dataOnly="0" labelOnly="1" outline="0" fieldPosition="0">
        <references count="1">
          <reference field="6" count="0"/>
        </references>
      </pivotArea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6" type="button" dataOnly="0" labelOnly="1" outline="0" axis="axisRow" fieldPosition="0"/>
    </format>
    <format dxfId="46">
      <pivotArea dataOnly="0" labelOnly="1" outline="0" fieldPosition="0">
        <references count="1">
          <reference field="6" count="0"/>
        </references>
      </pivotArea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6" type="button" dataOnly="0" labelOnly="1" outline="0" axis="axisRow" fieldPosition="0"/>
    </format>
    <format dxfId="41">
      <pivotArea dataOnly="0" labelOnly="1" outline="0" fieldPosition="0">
        <references count="1">
          <reference field="6" count="0"/>
        </references>
      </pivotArea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6" type="button" dataOnly="0" labelOnly="1" outline="0" axis="axisRow" fieldPosition="0"/>
    </format>
    <format dxfId="36">
      <pivotArea dataOnly="0" labelOnly="1" outline="0" fieldPosition="0">
        <references count="1">
          <reference field="6" count="0"/>
        </references>
      </pivotArea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6" type="button" dataOnly="0" labelOnly="1" outline="0" axis="axisRow" fieldPosition="0"/>
    </format>
    <format dxfId="31">
      <pivotArea dataOnly="0" labelOnly="1" outline="0" fieldPosition="0">
        <references count="1">
          <reference field="6" count="0"/>
        </references>
      </pivotArea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6" type="button" dataOnly="0" labelOnly="1" outline="0" axis="axisRow" fieldPosition="0"/>
    </format>
    <format dxfId="26">
      <pivotArea dataOnly="0" labelOnly="1" outline="0" fieldPosition="0">
        <references count="1">
          <reference field="6" count="0"/>
        </references>
      </pivotArea>
    </format>
    <format dxfId="25">
      <pivotArea dataOnly="0" labelOnly="1" outline="0" axis="axisValues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7370B-2EE8-4355-B384-2AA6711893E9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6">
  <location ref="B2:C4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Gender" axis="axisRow" dataField="1" compact="0" outline="0" showAll="0" sortType="ascending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Count of Female" fld="4" subtotal="count" baseField="0" baseItem="0"/>
  </dataFields>
  <formats count="30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4" type="button" dataOnly="0" labelOnly="1" outline="0" axis="axisRow" fieldPosition="0"/>
    </format>
    <format dxfId="86">
      <pivotArea dataOnly="0" labelOnly="1" outline="0" fieldPosition="0">
        <references count="1">
          <reference field="4" count="0"/>
        </references>
      </pivotArea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4" type="button" dataOnly="0" labelOnly="1" outline="0" axis="axisRow" fieldPosition="0"/>
    </format>
    <format dxfId="81">
      <pivotArea dataOnly="0" labelOnly="1" outline="0" fieldPosition="0">
        <references count="1">
          <reference field="4" count="0"/>
        </references>
      </pivotArea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4" type="button" dataOnly="0" labelOnly="1" outline="0" axis="axisRow" fieldPosition="0"/>
    </format>
    <format dxfId="76">
      <pivotArea dataOnly="0" labelOnly="1" outline="0" fieldPosition="0">
        <references count="1">
          <reference field="4" count="0"/>
        </references>
      </pivotArea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outline="0" fieldPosition="0">
        <references count="1">
          <reference field="4" count="0"/>
        </references>
      </pivotArea>
    </format>
    <format dxfId="71">
      <pivotArea outline="0" collapsedLevelsAreSubtotals="1" fieldPosition="0"/>
    </format>
    <format dxfId="70">
      <pivotArea dataOnly="0" labelOnly="1" outline="0" fieldPosition="0">
        <references count="1">
          <reference field="4" count="0"/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4" type="button" dataOnly="0" labelOnly="1" outline="0" axis="axisRow" fieldPosition="0"/>
    </format>
    <format dxfId="66">
      <pivotArea dataOnly="0" labelOnly="1" outline="0" fieldPosition="0">
        <references count="1">
          <reference field="4" count="0"/>
        </references>
      </pivotArea>
    </format>
    <format dxfId="65">
      <pivotArea dataOnly="0" labelOnly="1" outline="0" axis="axisValues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4" type="button" dataOnly="0" labelOnly="1" outline="0" axis="axisRow" fieldPosition="0"/>
    </format>
    <format dxfId="61">
      <pivotArea dataOnly="0" labelOnly="1" outline="0" fieldPosition="0">
        <references count="1">
          <reference field="4" count="0"/>
        </references>
      </pivotArea>
    </format>
    <format dxfId="60">
      <pivotArea dataOnly="0" labelOnly="1" outline="0" axis="axisValues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7A9849-E3F2-45B3-9509-42F56598CAD2}" name="Table2" displayName="Table2" ref="A1:O139" totalsRowShown="0" headerRowDxfId="24" dataDxfId="22" headerRowBorderDxfId="23" tableBorderDxfId="21">
  <tableColumns count="15">
    <tableColumn id="1" xr3:uid="{CC1097EF-75FD-4D7D-A427-A62C88D52DEC}" name="Seat No." dataDxfId="20"/>
    <tableColumn id="2" xr3:uid="{7F014628-A72E-4E66-A080-CFFADC7B5D24}" name="Student's Name" dataDxfId="19"/>
    <tableColumn id="3" xr3:uid="{5D22EAD5-AE21-4192-A286-99B726CBE832}" name="Father's Name" dataDxfId="18"/>
    <tableColumn id="4" xr3:uid="{134F02FA-9AF7-45C4-823B-9F28A017D3FE}" name="Mother's Name" dataDxfId="17"/>
    <tableColumn id="5" xr3:uid="{933D3FE1-8F38-489A-873B-42E13190816B}" name="Gender" dataDxfId="16"/>
    <tableColumn id="6" xr3:uid="{191D3151-CCC4-4073-8D42-DB27C6DA0EAB}" name="DOB" dataDxfId="15"/>
    <tableColumn id="7" xr3:uid="{1BFBEDF5-38E2-4DD7-AF00-3321CE3867B6}" name="Class" dataDxfId="14"/>
    <tableColumn id="8" xr3:uid="{4FAC51AA-82BE-4FCD-ADD2-036C352659D6}" name="English" dataDxfId="13"/>
    <tableColumn id="9" xr3:uid="{19253797-5A83-4D66-A9A6-AE2540E75BA9}" name="Hindi" dataDxfId="12"/>
    <tableColumn id="10" xr3:uid="{85E1BA91-FCEE-43EB-A446-3B0A13EA1206}" name="Marathi" dataDxfId="11"/>
    <tableColumn id="11" xr3:uid="{1D6C25C3-5F79-4EBC-898F-735FC79E82FC}" name="Science" dataDxfId="10"/>
    <tableColumn id="12" xr3:uid="{DE7A7F62-5015-4EBA-8BCA-5AB16DA634C8}" name="Maths" dataDxfId="9"/>
    <tableColumn id="13" xr3:uid="{E7DEB957-E5F5-4C3E-A84E-C033D7AD6473}" name="SST" dataDxfId="8"/>
    <tableColumn id="14" xr3:uid="{4724AED1-120D-4133-8588-311E42D8B08F}" name="Marks Out of 600" dataDxfId="7">
      <calculatedColumnFormula>SUM(Table2[[#This Row],[English]:[SST]])</calculatedColumnFormula>
    </tableColumn>
    <tableColumn id="15" xr3:uid="{122DB48D-5B67-4601-84A9-57AECAA1DB31}" name="Rank" dataDxfId="6">
      <calculatedColumnFormula>RANK(Table2[[#This Row],[Marks Out of 600]],$N$3:$N$138,0)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8C93-9F2B-4FF2-84E0-FE75B13C5192}">
  <sheetPr codeName="Sheet1"/>
  <dimension ref="A1:N31"/>
  <sheetViews>
    <sheetView showWhiteSpace="0" topLeftCell="A9" zoomScale="87" zoomScaleNormal="80" zoomScalePageLayoutView="119" workbookViewId="0">
      <selection activeCell="M24" sqref="M24"/>
    </sheetView>
  </sheetViews>
  <sheetFormatPr defaultColWidth="9.140625" defaultRowHeight="15" x14ac:dyDescent="0.25"/>
  <cols>
    <col min="1" max="1" width="9.140625" style="4"/>
    <col min="2" max="2" width="9.140625" style="4" customWidth="1"/>
    <col min="3" max="3" width="9.140625" style="4"/>
    <col min="4" max="4" width="2.5703125" style="4" customWidth="1"/>
    <col min="5" max="5" width="8.42578125" style="4" customWidth="1"/>
    <col min="6" max="6" width="12.7109375" style="4" customWidth="1"/>
    <col min="7" max="9" width="9.140625" style="4"/>
    <col min="10" max="10" width="9.42578125" style="4" bestFit="1" customWidth="1"/>
    <col min="11" max="16384" width="9.140625" style="4"/>
  </cols>
  <sheetData>
    <row r="1" spans="1:1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93" t="s">
        <v>517</v>
      </c>
      <c r="C12" s="93"/>
      <c r="D12" s="5" t="s">
        <v>519</v>
      </c>
      <c r="E12" s="2" t="s">
        <v>375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93" t="s">
        <v>1</v>
      </c>
      <c r="C13" s="93"/>
      <c r="D13" s="5" t="s">
        <v>519</v>
      </c>
      <c r="E13" s="2" t="str">
        <f>VLOOKUP($E$12,'Datasheet '!$A$1:$M$139,7,0)</f>
        <v>VIII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93" t="s">
        <v>518</v>
      </c>
      <c r="C14" s="93"/>
      <c r="D14" s="5" t="s">
        <v>519</v>
      </c>
      <c r="E14" s="2" t="str">
        <f>VLOOKUP($E$12,'Datasheet '!$A$1:$M$139,2,0)</f>
        <v>ADITI RAJESH GUPTA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93" t="s">
        <v>0</v>
      </c>
      <c r="C15" s="93"/>
      <c r="D15" s="5" t="s">
        <v>519</v>
      </c>
      <c r="E15" s="2" t="str">
        <f>VLOOKUP($E$12,'Datasheet '!$A$1:$M$139,3,0)</f>
        <v>RAJESH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93" t="s">
        <v>512</v>
      </c>
      <c r="C16" s="93"/>
      <c r="D16" s="5" t="s">
        <v>519</v>
      </c>
      <c r="E16" s="2" t="str">
        <f>VLOOKUP($E$12,'Datasheet '!$A$1:$M$139,4,0)</f>
        <v>POOJA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93" t="s">
        <v>528</v>
      </c>
      <c r="C17" s="93"/>
      <c r="D17" s="5" t="s">
        <v>519</v>
      </c>
      <c r="E17" s="3">
        <f>VLOOKUP($E$12,'Datasheet '!$A$1:$M$139,6,0)</f>
        <v>41144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29.25" thickBot="1" x14ac:dyDescent="0.3">
      <c r="A19" s="2"/>
      <c r="B19" s="2"/>
      <c r="C19" s="2"/>
      <c r="D19" s="91" t="s">
        <v>520</v>
      </c>
      <c r="E19" s="92"/>
      <c r="F19" s="7" t="s">
        <v>521</v>
      </c>
      <c r="G19" s="8" t="s">
        <v>522</v>
      </c>
      <c r="H19" s="9" t="s">
        <v>523</v>
      </c>
      <c r="I19" s="6" t="s">
        <v>524</v>
      </c>
      <c r="J19" s="2"/>
      <c r="K19" s="2"/>
      <c r="L19" s="2"/>
      <c r="M19" s="2"/>
      <c r="N19" s="2"/>
    </row>
    <row r="20" spans="1:14" ht="15" customHeight="1" x14ac:dyDescent="0.25">
      <c r="A20" s="2"/>
      <c r="B20" s="2"/>
      <c r="C20" s="2"/>
      <c r="D20" s="89" t="s">
        <v>2</v>
      </c>
      <c r="E20" s="90"/>
      <c r="F20" s="10">
        <f>VLOOKUP($E$12,'Datasheet '!$A$1:$M$139,8,0)</f>
        <v>89</v>
      </c>
      <c r="G20" s="11">
        <v>100</v>
      </c>
      <c r="H20" s="12" t="str">
        <f t="shared" ref="H20:H24" si="0">IF(F20&gt;=80, "A", IF(F20&gt;=60, "B", IF(F20&gt;=45, "C", IF(F20&gt;=35, "D", "F"))))</f>
        <v>A</v>
      </c>
      <c r="I20" s="13" t="str">
        <f t="shared" ref="I20:I25" si="1">IF(F20&gt;=35, "Pass", "Fail")</f>
        <v>Pass</v>
      </c>
      <c r="J20" s="2"/>
      <c r="K20" s="2"/>
      <c r="L20" s="2"/>
      <c r="M20" s="2"/>
      <c r="N20" s="2"/>
    </row>
    <row r="21" spans="1:14" ht="15" customHeight="1" thickBot="1" x14ac:dyDescent="0.3">
      <c r="A21" s="2"/>
      <c r="B21" s="2"/>
      <c r="C21" s="2"/>
      <c r="D21" s="89" t="s">
        <v>3</v>
      </c>
      <c r="E21" s="90"/>
      <c r="F21" s="10">
        <f>VLOOKUP($E$12,'Datasheet '!$A$1:$M$139,9,0)</f>
        <v>71</v>
      </c>
      <c r="G21" s="11">
        <v>100</v>
      </c>
      <c r="H21" s="10" t="str">
        <f t="shared" si="0"/>
        <v>B</v>
      </c>
      <c r="I21" s="14" t="str">
        <f t="shared" si="1"/>
        <v>Pass</v>
      </c>
      <c r="J21" s="2"/>
      <c r="K21" s="2"/>
      <c r="L21" s="2"/>
      <c r="M21" s="2"/>
      <c r="N21" s="2"/>
    </row>
    <row r="22" spans="1:14" ht="15" customHeight="1" x14ac:dyDescent="0.25">
      <c r="A22" s="2"/>
      <c r="B22" s="2"/>
      <c r="C22" s="2"/>
      <c r="D22" s="89" t="s">
        <v>374</v>
      </c>
      <c r="E22" s="90"/>
      <c r="F22" s="10">
        <f>VLOOKUP($E$12,'Datasheet '!$A$1:$M$139,10,0)</f>
        <v>67</v>
      </c>
      <c r="G22" s="11">
        <v>100</v>
      </c>
      <c r="H22" s="10" t="str">
        <f t="shared" si="0"/>
        <v>B</v>
      </c>
      <c r="I22" s="14" t="str">
        <f t="shared" si="1"/>
        <v>Pass</v>
      </c>
      <c r="J22" s="2"/>
      <c r="K22" s="83" t="s">
        <v>522</v>
      </c>
      <c r="L22" s="84"/>
      <c r="M22" s="15">
        <v>600</v>
      </c>
      <c r="N22" s="2"/>
    </row>
    <row r="23" spans="1:14" ht="15" customHeight="1" x14ac:dyDescent="0.25">
      <c r="A23" s="2"/>
      <c r="B23" s="2"/>
      <c r="C23" s="2"/>
      <c r="D23" s="89" t="s">
        <v>4</v>
      </c>
      <c r="E23" s="90"/>
      <c r="F23" s="10">
        <f>VLOOKUP($E$12,'Datasheet '!$A$1:$M$139,11,0)</f>
        <v>48</v>
      </c>
      <c r="G23" s="11">
        <v>100</v>
      </c>
      <c r="H23" s="10" t="str">
        <f t="shared" si="0"/>
        <v>C</v>
      </c>
      <c r="I23" s="14" t="str">
        <f t="shared" si="1"/>
        <v>Pass</v>
      </c>
      <c r="J23" s="2"/>
      <c r="K23" s="85" t="s">
        <v>525</v>
      </c>
      <c r="L23" s="86"/>
      <c r="M23" s="16">
        <f>SUM(F20:F26)</f>
        <v>429</v>
      </c>
      <c r="N23" s="2"/>
    </row>
    <row r="24" spans="1:14" ht="15" customHeight="1" x14ac:dyDescent="0.25">
      <c r="A24" s="2"/>
      <c r="B24" s="2"/>
      <c r="C24" s="2"/>
      <c r="D24" s="89" t="s">
        <v>5</v>
      </c>
      <c r="E24" s="90"/>
      <c r="F24" s="10">
        <f>VLOOKUP($E$12,'Datasheet '!$A$1:$M$139,12,0)</f>
        <v>73</v>
      </c>
      <c r="G24" s="11">
        <v>100</v>
      </c>
      <c r="H24" s="10" t="str">
        <f t="shared" si="0"/>
        <v>B</v>
      </c>
      <c r="I24" s="14" t="str">
        <f t="shared" si="1"/>
        <v>Pass</v>
      </c>
      <c r="J24" s="2"/>
      <c r="K24" s="85" t="s">
        <v>526</v>
      </c>
      <c r="L24" s="86"/>
      <c r="M24" s="17">
        <f>(M23*100/M22)</f>
        <v>71.5</v>
      </c>
      <c r="N24" s="2"/>
    </row>
    <row r="25" spans="1:14" ht="15.75" customHeight="1" thickBot="1" x14ac:dyDescent="0.3">
      <c r="A25" s="2"/>
      <c r="B25" s="2"/>
      <c r="C25" s="2"/>
      <c r="D25" s="81" t="s">
        <v>6</v>
      </c>
      <c r="E25" s="82"/>
      <c r="F25" s="18">
        <f>VLOOKUP($E$12,'Datasheet '!$A$1:$M$139,13,0)</f>
        <v>81</v>
      </c>
      <c r="G25" s="19">
        <v>100</v>
      </c>
      <c r="H25" s="18" t="str">
        <f>IF(F25&gt;=80, "A", IF(F25&gt;=60, "B", IF(F25&gt;=45, "C", IF(F25&gt;=35, "D", "F"))))</f>
        <v>A</v>
      </c>
      <c r="I25" s="20" t="str">
        <f t="shared" si="1"/>
        <v>Pass</v>
      </c>
      <c r="J25" s="2"/>
      <c r="K25" s="87" t="s">
        <v>527</v>
      </c>
      <c r="L25" s="88"/>
      <c r="M25" s="21" t="str">
        <f>IF(M24&gt;=80, "A", IF(M24&gt;=60, "B", IF(M24&gt;=45, "C", IF(M24&gt;=35, "D", "F"))))</f>
        <v>B</v>
      </c>
      <c r="N25" s="2"/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mergeCells count="17">
    <mergeCell ref="B17:C17"/>
    <mergeCell ref="B12:C12"/>
    <mergeCell ref="B13:C13"/>
    <mergeCell ref="B14:C14"/>
    <mergeCell ref="B15:C15"/>
    <mergeCell ref="B16:C16"/>
    <mergeCell ref="D19:E19"/>
    <mergeCell ref="D20:E20"/>
    <mergeCell ref="D21:E21"/>
    <mergeCell ref="D22:E22"/>
    <mergeCell ref="D23:E23"/>
    <mergeCell ref="D25:E25"/>
    <mergeCell ref="K22:L22"/>
    <mergeCell ref="K23:L23"/>
    <mergeCell ref="K24:L24"/>
    <mergeCell ref="K25:L25"/>
    <mergeCell ref="D24:E24"/>
  </mergeCells>
  <pageMargins left="0.25" right="0.25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F615B9-2026-43AD-A50F-F00C02B01B0C}">
          <x14:formula1>
            <xm:f>'Datasheet '!$A$3:$A$139</xm:f>
          </x14:formula1>
          <xm:sqref>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AEC6-C2C4-4A75-9573-48BA26711351}">
  <sheetPr codeName="Sheet2"/>
  <dimension ref="A1:AQ60"/>
  <sheetViews>
    <sheetView zoomScale="70" zoomScaleNormal="70" workbookViewId="0">
      <selection activeCell="C17" sqref="C17"/>
    </sheetView>
  </sheetViews>
  <sheetFormatPr defaultColWidth="9.140625" defaultRowHeight="15" x14ac:dyDescent="0.25"/>
  <cols>
    <col min="1" max="1" width="9.85546875" style="1" bestFit="1" customWidth="1"/>
    <col min="2" max="2" width="19.140625" style="1" bestFit="1" customWidth="1"/>
    <col min="3" max="3" width="23.5703125" style="1" bestFit="1" customWidth="1"/>
    <col min="4" max="16" width="9.140625" style="1"/>
    <col min="17" max="17" width="12.42578125" style="1" customWidth="1"/>
    <col min="18" max="16384" width="9.140625" style="1"/>
  </cols>
  <sheetData>
    <row r="1" spans="1:43" ht="30" customHeight="1" thickBot="1" x14ac:dyDescent="0.3">
      <c r="A1" s="69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94" t="s">
        <v>533</v>
      </c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6"/>
    </row>
    <row r="2" spans="1:43" ht="15" customHeight="1" thickBot="1" x14ac:dyDescent="0.3">
      <c r="A2" s="59"/>
      <c r="B2" s="71" t="s">
        <v>144</v>
      </c>
      <c r="C2" s="71" t="s">
        <v>513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97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9"/>
    </row>
    <row r="3" spans="1:43" ht="15" customHeight="1" x14ac:dyDescent="0.25">
      <c r="A3" s="59"/>
      <c r="B3" s="72" t="s">
        <v>145</v>
      </c>
      <c r="C3" s="72">
        <v>67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97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9"/>
    </row>
    <row r="4" spans="1:43" ht="15.75" thickBot="1" x14ac:dyDescent="0.3">
      <c r="A4" s="59"/>
      <c r="B4" s="73" t="s">
        <v>146</v>
      </c>
      <c r="C4" s="73">
        <v>69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3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64"/>
    </row>
    <row r="5" spans="1:43" x14ac:dyDescent="0.25">
      <c r="A5" s="59"/>
      <c r="B5" s="60" t="s">
        <v>514</v>
      </c>
      <c r="C5" s="60">
        <f>(C3/C4)*1000</f>
        <v>971.01449275362313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3"/>
      <c r="Q5" s="100" t="s">
        <v>2</v>
      </c>
      <c r="R5" s="10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100" t="s">
        <v>4</v>
      </c>
      <c r="AF5" s="101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64"/>
    </row>
    <row r="6" spans="1:43" x14ac:dyDescent="0.25">
      <c r="A6" s="59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3"/>
      <c r="Q6" s="101"/>
      <c r="R6" s="10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101"/>
      <c r="AF6" s="101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64"/>
    </row>
    <row r="7" spans="1:43" x14ac:dyDescent="0.25">
      <c r="A7" s="59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3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64"/>
    </row>
    <row r="8" spans="1:43" x14ac:dyDescent="0.25">
      <c r="A8" s="59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3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64"/>
    </row>
    <row r="9" spans="1:43" x14ac:dyDescent="0.25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3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64"/>
    </row>
    <row r="10" spans="1:43" ht="24" x14ac:dyDescent="0.2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3"/>
      <c r="Q10" s="74"/>
      <c r="R10" s="7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64"/>
    </row>
    <row r="11" spans="1:43" ht="24" x14ac:dyDescent="0.2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3"/>
      <c r="Q11" s="76"/>
      <c r="R11" s="7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64"/>
    </row>
    <row r="12" spans="1:43" x14ac:dyDescent="0.2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3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64"/>
    </row>
    <row r="13" spans="1:43" x14ac:dyDescent="0.25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3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64"/>
    </row>
    <row r="14" spans="1:43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3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64"/>
    </row>
    <row r="15" spans="1:43" x14ac:dyDescent="0.25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3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64"/>
    </row>
    <row r="16" spans="1:43" x14ac:dyDescent="0.2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3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64"/>
    </row>
    <row r="17" spans="1:43" x14ac:dyDescent="0.25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3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64"/>
    </row>
    <row r="18" spans="1:43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3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64"/>
    </row>
    <row r="19" spans="1:43" x14ac:dyDescent="0.25">
      <c r="A19" s="59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3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64"/>
    </row>
    <row r="20" spans="1:43" x14ac:dyDescent="0.25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3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64"/>
    </row>
    <row r="21" spans="1:43" x14ac:dyDescent="0.25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3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64"/>
    </row>
    <row r="22" spans="1:43" x14ac:dyDescent="0.25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3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64"/>
    </row>
    <row r="23" spans="1:43" ht="18" customHeight="1" thickBot="1" x14ac:dyDescent="0.3">
      <c r="A23" s="61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3"/>
      <c r="Q23" s="100" t="s">
        <v>3</v>
      </c>
      <c r="R23" s="10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100" t="s">
        <v>5</v>
      </c>
      <c r="AF23" s="101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64"/>
    </row>
    <row r="24" spans="1:43" x14ac:dyDescent="0.25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63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64"/>
    </row>
    <row r="25" spans="1:43" x14ac:dyDescent="0.25">
      <c r="A25" s="59"/>
      <c r="B25" s="60" t="s">
        <v>1</v>
      </c>
      <c r="C25" s="60" t="s">
        <v>515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3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64"/>
    </row>
    <row r="26" spans="1:43" x14ac:dyDescent="0.25">
      <c r="A26" s="59"/>
      <c r="B26" s="60" t="s">
        <v>372</v>
      </c>
      <c r="C26" s="60">
        <v>46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3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64"/>
    </row>
    <row r="27" spans="1:43" x14ac:dyDescent="0.25">
      <c r="A27" s="59"/>
      <c r="B27" s="60" t="s">
        <v>371</v>
      </c>
      <c r="C27" s="60">
        <v>42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3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64"/>
    </row>
    <row r="28" spans="1:43" x14ac:dyDescent="0.25">
      <c r="A28" s="59"/>
      <c r="B28" s="60" t="s">
        <v>373</v>
      </c>
      <c r="C28" s="60">
        <v>48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3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64"/>
    </row>
    <row r="29" spans="1:43" x14ac:dyDescent="0.25">
      <c r="A29" s="59"/>
      <c r="B29" s="70" t="s">
        <v>516</v>
      </c>
      <c r="C29" s="60">
        <f>SUM(C26:C28)</f>
        <v>136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3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64"/>
    </row>
    <row r="30" spans="1:43" ht="20.25" x14ac:dyDescent="0.25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3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6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64"/>
    </row>
    <row r="31" spans="1:43" x14ac:dyDescent="0.25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3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64"/>
    </row>
    <row r="32" spans="1:43" x14ac:dyDescent="0.25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3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64"/>
    </row>
    <row r="33" spans="1:43" x14ac:dyDescent="0.25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3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64"/>
    </row>
    <row r="34" spans="1:43" x14ac:dyDescent="0.25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3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64"/>
    </row>
    <row r="35" spans="1:43" x14ac:dyDescent="0.25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3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64"/>
    </row>
    <row r="36" spans="1:43" x14ac:dyDescent="0.2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3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64"/>
    </row>
    <row r="37" spans="1:43" x14ac:dyDescent="0.25">
      <c r="A37" s="59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3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64"/>
    </row>
    <row r="38" spans="1:43" x14ac:dyDescent="0.25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3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64"/>
    </row>
    <row r="39" spans="1:43" x14ac:dyDescent="0.25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3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64"/>
    </row>
    <row r="40" spans="1:43" x14ac:dyDescent="0.25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3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64"/>
    </row>
    <row r="41" spans="1:43" x14ac:dyDescent="0.25">
      <c r="A41" s="59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3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64"/>
    </row>
    <row r="42" spans="1:43" ht="24" x14ac:dyDescent="0.25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3"/>
      <c r="Q42" s="102" t="s">
        <v>374</v>
      </c>
      <c r="R42" s="102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100" t="s">
        <v>6</v>
      </c>
      <c r="AF42" s="100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64"/>
    </row>
    <row r="43" spans="1:43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3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64"/>
    </row>
    <row r="44" spans="1:43" x14ac:dyDescent="0.25">
      <c r="A44" s="59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3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64"/>
    </row>
    <row r="45" spans="1:43" x14ac:dyDescent="0.25">
      <c r="A45" s="59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3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64"/>
    </row>
    <row r="46" spans="1:43" ht="15.75" thickBot="1" x14ac:dyDescent="0.3">
      <c r="A46" s="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64"/>
    </row>
    <row r="47" spans="1:43" x14ac:dyDescent="0.25">
      <c r="P47" s="63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64"/>
    </row>
    <row r="48" spans="1:43" x14ac:dyDescent="0.25">
      <c r="P48" s="63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64"/>
    </row>
    <row r="49" spans="16:43" x14ac:dyDescent="0.25">
      <c r="P49" s="63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64"/>
    </row>
    <row r="50" spans="16:43" x14ac:dyDescent="0.25">
      <c r="P50" s="63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64"/>
    </row>
    <row r="51" spans="16:43" x14ac:dyDescent="0.25">
      <c r="P51" s="63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64"/>
    </row>
    <row r="52" spans="16:43" x14ac:dyDescent="0.25">
      <c r="P52" s="63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64"/>
    </row>
    <row r="53" spans="16:43" x14ac:dyDescent="0.25">
      <c r="P53" s="63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64"/>
    </row>
    <row r="54" spans="16:43" x14ac:dyDescent="0.25">
      <c r="P54" s="63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64"/>
    </row>
    <row r="55" spans="16:43" x14ac:dyDescent="0.25">
      <c r="P55" s="63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64"/>
    </row>
    <row r="56" spans="16:43" x14ac:dyDescent="0.25">
      <c r="P56" s="63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64"/>
    </row>
    <row r="57" spans="16:43" x14ac:dyDescent="0.25">
      <c r="P57" s="63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64"/>
    </row>
    <row r="58" spans="16:43" x14ac:dyDescent="0.25">
      <c r="P58" s="63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64"/>
    </row>
    <row r="59" spans="16:43" x14ac:dyDescent="0.25">
      <c r="P59" s="63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64"/>
    </row>
    <row r="60" spans="16:43" ht="15.75" thickBot="1" x14ac:dyDescent="0.3">
      <c r="P60" s="66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8"/>
    </row>
  </sheetData>
  <mergeCells count="7">
    <mergeCell ref="P1:AQ3"/>
    <mergeCell ref="AE5:AF6"/>
    <mergeCell ref="AE23:AF23"/>
    <mergeCell ref="AE42:AF42"/>
    <mergeCell ref="Q5:R6"/>
    <mergeCell ref="Q23:R23"/>
    <mergeCell ref="Q42:R42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FF10-2755-DE45-BAB3-8DB2EAA3BADB}">
  <sheetPr codeName="Sheet3"/>
  <dimension ref="A1:O150"/>
  <sheetViews>
    <sheetView tabSelected="1" topLeftCell="D1" zoomScale="73" zoomScaleNormal="60" zoomScaleSheetLayoutView="100" workbookViewId="0">
      <selection activeCell="J17" sqref="J17"/>
    </sheetView>
  </sheetViews>
  <sheetFormatPr defaultColWidth="20.7109375" defaultRowHeight="15" x14ac:dyDescent="0.25"/>
  <cols>
    <col min="1" max="1" width="20.7109375" style="4"/>
    <col min="2" max="2" width="42" style="4" customWidth="1"/>
    <col min="3" max="3" width="30.5703125" style="4" customWidth="1"/>
    <col min="4" max="4" width="32.140625" style="4" customWidth="1"/>
    <col min="5" max="5" width="20.7109375" style="4"/>
    <col min="6" max="6" width="20.7109375" style="34"/>
    <col min="7" max="7" width="20.7109375" style="4"/>
    <col min="8" max="8" width="15.5703125" style="4" customWidth="1"/>
    <col min="9" max="9" width="18.140625" style="4" customWidth="1"/>
    <col min="10" max="10" width="16" style="4" customWidth="1"/>
    <col min="11" max="11" width="17" style="4" customWidth="1"/>
    <col min="12" max="13" width="17.5703125" style="4" customWidth="1"/>
    <col min="14" max="16384" width="20.7109375" style="4"/>
  </cols>
  <sheetData>
    <row r="1" spans="1:15" ht="15.75" thickBot="1" x14ac:dyDescent="0.3">
      <c r="A1" s="41" t="s">
        <v>517</v>
      </c>
      <c r="B1" s="42" t="s">
        <v>518</v>
      </c>
      <c r="C1" s="43" t="s">
        <v>0</v>
      </c>
      <c r="D1" s="43" t="s">
        <v>512</v>
      </c>
      <c r="E1" s="44" t="s">
        <v>144</v>
      </c>
      <c r="F1" s="45" t="s">
        <v>528</v>
      </c>
      <c r="G1" s="46" t="s">
        <v>1</v>
      </c>
      <c r="H1" s="42" t="s">
        <v>2</v>
      </c>
      <c r="I1" s="43" t="s">
        <v>3</v>
      </c>
      <c r="J1" s="43" t="s">
        <v>374</v>
      </c>
      <c r="K1" s="43" t="s">
        <v>4</v>
      </c>
      <c r="L1" s="43" t="s">
        <v>5</v>
      </c>
      <c r="M1" s="47" t="s">
        <v>6</v>
      </c>
      <c r="N1" s="77" t="s">
        <v>534</v>
      </c>
      <c r="O1" s="77" t="s">
        <v>535</v>
      </c>
    </row>
    <row r="2" spans="1:15" ht="17.25" x14ac:dyDescent="0.25">
      <c r="A2" s="36"/>
      <c r="B2" s="56"/>
      <c r="C2" s="23"/>
      <c r="D2" s="24"/>
      <c r="E2" s="24"/>
      <c r="F2" s="25"/>
      <c r="G2" s="26"/>
      <c r="H2" s="22"/>
      <c r="I2" s="23"/>
      <c r="J2" s="23"/>
      <c r="K2" s="23"/>
      <c r="L2" s="23"/>
      <c r="M2" s="38"/>
      <c r="N2" s="78"/>
      <c r="O2" s="78"/>
    </row>
    <row r="3" spans="1:15" x14ac:dyDescent="0.25">
      <c r="A3" s="37" t="s">
        <v>375</v>
      </c>
      <c r="B3" s="27" t="s">
        <v>15</v>
      </c>
      <c r="C3" s="28" t="s">
        <v>147</v>
      </c>
      <c r="D3" s="28" t="s">
        <v>262</v>
      </c>
      <c r="E3" s="28" t="s">
        <v>145</v>
      </c>
      <c r="F3" s="29">
        <v>41144</v>
      </c>
      <c r="G3" s="30" t="s">
        <v>371</v>
      </c>
      <c r="H3" s="27">
        <v>89</v>
      </c>
      <c r="I3" s="28">
        <v>71</v>
      </c>
      <c r="J3" s="28">
        <v>67</v>
      </c>
      <c r="K3" s="28">
        <v>48</v>
      </c>
      <c r="L3" s="28">
        <v>73</v>
      </c>
      <c r="M3" s="39">
        <v>81</v>
      </c>
      <c r="N3" s="79">
        <f>SUM(Table2[[#This Row],[English]:[SST]])</f>
        <v>429</v>
      </c>
      <c r="O3" s="79">
        <f>RANK(Table2[[#This Row],[Marks Out of 600]],$N$3:$N$138,0)</f>
        <v>50</v>
      </c>
    </row>
    <row r="4" spans="1:15" x14ac:dyDescent="0.25">
      <c r="A4" s="37" t="s">
        <v>376</v>
      </c>
      <c r="B4" s="27" t="s">
        <v>16</v>
      </c>
      <c r="C4" s="28" t="s">
        <v>148</v>
      </c>
      <c r="D4" s="28" t="s">
        <v>263</v>
      </c>
      <c r="E4" s="28" t="s">
        <v>146</v>
      </c>
      <c r="F4" s="29">
        <v>41218</v>
      </c>
      <c r="G4" s="30" t="s">
        <v>371</v>
      </c>
      <c r="H4" s="27">
        <v>57</v>
      </c>
      <c r="I4" s="28">
        <v>64</v>
      </c>
      <c r="J4" s="28">
        <v>36</v>
      </c>
      <c r="K4" s="28">
        <v>54</v>
      </c>
      <c r="L4" s="28">
        <v>81</v>
      </c>
      <c r="M4" s="39">
        <v>85</v>
      </c>
      <c r="N4" s="79">
        <f>SUM(Table2[[#This Row],[English]:[SST]])</f>
        <v>377</v>
      </c>
      <c r="O4" s="79">
        <f>RANK(Table2[[#This Row],[Marks Out of 600]],$N$3:$N$138,0)</f>
        <v>91</v>
      </c>
    </row>
    <row r="5" spans="1:15" x14ac:dyDescent="0.25">
      <c r="A5" s="37" t="s">
        <v>377</v>
      </c>
      <c r="B5" s="27" t="s">
        <v>17</v>
      </c>
      <c r="C5" s="28" t="s">
        <v>149</v>
      </c>
      <c r="D5" s="28" t="s">
        <v>264</v>
      </c>
      <c r="E5" s="28" t="s">
        <v>146</v>
      </c>
      <c r="F5" s="29">
        <v>41281</v>
      </c>
      <c r="G5" s="30" t="s">
        <v>371</v>
      </c>
      <c r="H5" s="27">
        <v>82</v>
      </c>
      <c r="I5" s="28">
        <v>89</v>
      </c>
      <c r="J5" s="28">
        <v>85</v>
      </c>
      <c r="K5" s="28">
        <v>85</v>
      </c>
      <c r="L5" s="28">
        <v>75</v>
      </c>
      <c r="M5" s="39">
        <v>43</v>
      </c>
      <c r="N5" s="79">
        <f>SUM(Table2[[#This Row],[English]:[SST]])</f>
        <v>459</v>
      </c>
      <c r="O5" s="79">
        <f>RANK(Table2[[#This Row],[Marks Out of 600]],$N$3:$N$138,0)</f>
        <v>25</v>
      </c>
    </row>
    <row r="6" spans="1:15" x14ac:dyDescent="0.25">
      <c r="A6" s="37" t="s">
        <v>378</v>
      </c>
      <c r="B6" s="27" t="s">
        <v>18</v>
      </c>
      <c r="C6" s="28" t="s">
        <v>150</v>
      </c>
      <c r="D6" s="28" t="s">
        <v>265</v>
      </c>
      <c r="E6" s="28" t="s">
        <v>146</v>
      </c>
      <c r="F6" s="29">
        <v>41244</v>
      </c>
      <c r="G6" s="30" t="s">
        <v>371</v>
      </c>
      <c r="H6" s="27">
        <v>68</v>
      </c>
      <c r="I6" s="28">
        <v>48</v>
      </c>
      <c r="J6" s="28">
        <v>91</v>
      </c>
      <c r="K6" s="28">
        <v>67</v>
      </c>
      <c r="L6" s="28">
        <v>90</v>
      </c>
      <c r="M6" s="39">
        <v>87</v>
      </c>
      <c r="N6" s="79">
        <f>SUM(Table2[[#This Row],[English]:[SST]])</f>
        <v>451</v>
      </c>
      <c r="O6" s="79">
        <f>RANK(Table2[[#This Row],[Marks Out of 600]],$N$3:$N$138,0)</f>
        <v>33</v>
      </c>
    </row>
    <row r="7" spans="1:15" x14ac:dyDescent="0.25">
      <c r="A7" s="37" t="s">
        <v>379</v>
      </c>
      <c r="B7" s="27" t="s">
        <v>19</v>
      </c>
      <c r="C7" s="28" t="s">
        <v>151</v>
      </c>
      <c r="D7" s="28" t="s">
        <v>266</v>
      </c>
      <c r="E7" s="28" t="s">
        <v>145</v>
      </c>
      <c r="F7" s="29">
        <v>40989</v>
      </c>
      <c r="G7" s="30" t="s">
        <v>371</v>
      </c>
      <c r="H7" s="27">
        <v>64</v>
      </c>
      <c r="I7" s="28">
        <v>85</v>
      </c>
      <c r="J7" s="28">
        <v>60</v>
      </c>
      <c r="K7" s="28">
        <v>36</v>
      </c>
      <c r="L7" s="28">
        <v>58</v>
      </c>
      <c r="M7" s="39">
        <v>75</v>
      </c>
      <c r="N7" s="79">
        <f>SUM(Table2[[#This Row],[English]:[SST]])</f>
        <v>378</v>
      </c>
      <c r="O7" s="79">
        <f>RANK(Table2[[#This Row],[Marks Out of 600]],$N$3:$N$138,0)</f>
        <v>90</v>
      </c>
    </row>
    <row r="8" spans="1:15" x14ac:dyDescent="0.25">
      <c r="A8" s="37" t="s">
        <v>380</v>
      </c>
      <c r="B8" s="27" t="s">
        <v>20</v>
      </c>
      <c r="C8" s="28" t="s">
        <v>152</v>
      </c>
      <c r="D8" s="28" t="s">
        <v>267</v>
      </c>
      <c r="E8" s="28" t="s">
        <v>145</v>
      </c>
      <c r="F8" s="29">
        <v>41371</v>
      </c>
      <c r="G8" s="30" t="s">
        <v>371</v>
      </c>
      <c r="H8" s="27">
        <v>78</v>
      </c>
      <c r="I8" s="28">
        <v>73</v>
      </c>
      <c r="J8" s="28">
        <v>43</v>
      </c>
      <c r="K8" s="28">
        <v>85</v>
      </c>
      <c r="L8" s="28">
        <v>98</v>
      </c>
      <c r="M8" s="39">
        <v>82</v>
      </c>
      <c r="N8" s="79">
        <f>SUM(Table2[[#This Row],[English]:[SST]])</f>
        <v>459</v>
      </c>
      <c r="O8" s="79">
        <f>RANK(Table2[[#This Row],[Marks Out of 600]],$N$3:$N$138,0)</f>
        <v>25</v>
      </c>
    </row>
    <row r="9" spans="1:15" x14ac:dyDescent="0.25">
      <c r="A9" s="37" t="s">
        <v>381</v>
      </c>
      <c r="B9" s="27" t="s">
        <v>21</v>
      </c>
      <c r="C9" s="28" t="s">
        <v>152</v>
      </c>
      <c r="D9" s="28" t="s">
        <v>267</v>
      </c>
      <c r="E9" s="28" t="s">
        <v>145</v>
      </c>
      <c r="F9" s="29">
        <v>41144</v>
      </c>
      <c r="G9" s="30" t="s">
        <v>371</v>
      </c>
      <c r="H9" s="27">
        <v>84</v>
      </c>
      <c r="I9" s="28">
        <v>87</v>
      </c>
      <c r="J9" s="28">
        <v>46</v>
      </c>
      <c r="K9" s="28">
        <v>91</v>
      </c>
      <c r="L9" s="28">
        <v>43</v>
      </c>
      <c r="M9" s="39">
        <v>43</v>
      </c>
      <c r="N9" s="79">
        <f>SUM(Table2[[#This Row],[English]:[SST]])</f>
        <v>394</v>
      </c>
      <c r="O9" s="79">
        <f>RANK(Table2[[#This Row],[Marks Out of 600]],$N$3:$N$138,0)</f>
        <v>76</v>
      </c>
    </row>
    <row r="10" spans="1:15" x14ac:dyDescent="0.25">
      <c r="A10" s="37" t="s">
        <v>382</v>
      </c>
      <c r="B10" s="27" t="s">
        <v>22</v>
      </c>
      <c r="C10" s="28" t="s">
        <v>153</v>
      </c>
      <c r="D10" s="28" t="s">
        <v>268</v>
      </c>
      <c r="E10" s="28" t="s">
        <v>145</v>
      </c>
      <c r="F10" s="29">
        <v>41319</v>
      </c>
      <c r="G10" s="30" t="s">
        <v>371</v>
      </c>
      <c r="H10" s="27">
        <v>55</v>
      </c>
      <c r="I10" s="28">
        <v>93</v>
      </c>
      <c r="J10" s="28">
        <v>44</v>
      </c>
      <c r="K10" s="28">
        <v>60</v>
      </c>
      <c r="L10" s="28">
        <v>51</v>
      </c>
      <c r="M10" s="39">
        <v>46</v>
      </c>
      <c r="N10" s="79">
        <f>SUM(Table2[[#This Row],[English]:[SST]])</f>
        <v>349</v>
      </c>
      <c r="O10" s="79">
        <f>RANK(Table2[[#This Row],[Marks Out of 600]],$N$3:$N$138,0)</f>
        <v>112</v>
      </c>
    </row>
    <row r="11" spans="1:15" x14ac:dyDescent="0.25">
      <c r="A11" s="37" t="s">
        <v>383</v>
      </c>
      <c r="B11" s="27" t="s">
        <v>23</v>
      </c>
      <c r="C11" s="28" t="s">
        <v>154</v>
      </c>
      <c r="D11" s="28" t="s">
        <v>269</v>
      </c>
      <c r="E11" s="28" t="s">
        <v>146</v>
      </c>
      <c r="F11" s="29">
        <v>41271</v>
      </c>
      <c r="G11" s="30" t="s">
        <v>371</v>
      </c>
      <c r="H11" s="27">
        <v>77</v>
      </c>
      <c r="I11" s="28">
        <v>75</v>
      </c>
      <c r="J11" s="28">
        <v>86</v>
      </c>
      <c r="K11" s="28">
        <v>70</v>
      </c>
      <c r="L11" s="28">
        <v>86</v>
      </c>
      <c r="M11" s="39">
        <v>44</v>
      </c>
      <c r="N11" s="79">
        <f>SUM(Table2[[#This Row],[English]:[SST]])</f>
        <v>438</v>
      </c>
      <c r="O11" s="79">
        <f>RANK(Table2[[#This Row],[Marks Out of 600]],$N$3:$N$138,0)</f>
        <v>42</v>
      </c>
    </row>
    <row r="12" spans="1:15" x14ac:dyDescent="0.25">
      <c r="A12" s="37" t="s">
        <v>384</v>
      </c>
      <c r="B12" s="27" t="s">
        <v>24</v>
      </c>
      <c r="C12" s="28" t="s">
        <v>155</v>
      </c>
      <c r="D12" s="28" t="s">
        <v>270</v>
      </c>
      <c r="E12" s="28" t="s">
        <v>146</v>
      </c>
      <c r="F12" s="29">
        <v>41188</v>
      </c>
      <c r="G12" s="30" t="s">
        <v>371</v>
      </c>
      <c r="H12" s="27">
        <v>71</v>
      </c>
      <c r="I12" s="28">
        <v>86</v>
      </c>
      <c r="J12" s="28">
        <v>57</v>
      </c>
      <c r="K12" s="28">
        <v>90</v>
      </c>
      <c r="L12" s="28">
        <v>98</v>
      </c>
      <c r="M12" s="39">
        <v>86</v>
      </c>
      <c r="N12" s="79">
        <f>SUM(Table2[[#This Row],[English]:[SST]])</f>
        <v>488</v>
      </c>
      <c r="O12" s="79">
        <f>RANK(Table2[[#This Row],[Marks Out of 600]],$N$3:$N$138,0)</f>
        <v>14</v>
      </c>
    </row>
    <row r="13" spans="1:15" x14ac:dyDescent="0.25">
      <c r="A13" s="37" t="s">
        <v>385</v>
      </c>
      <c r="B13" s="27" t="s">
        <v>25</v>
      </c>
      <c r="C13" s="28" t="s">
        <v>156</v>
      </c>
      <c r="D13" s="28" t="s">
        <v>271</v>
      </c>
      <c r="E13" s="28" t="s">
        <v>146</v>
      </c>
      <c r="F13" s="29">
        <v>40960</v>
      </c>
      <c r="G13" s="30" t="s">
        <v>371</v>
      </c>
      <c r="H13" s="27">
        <v>77</v>
      </c>
      <c r="I13" s="28">
        <v>87</v>
      </c>
      <c r="J13" s="28">
        <v>82</v>
      </c>
      <c r="K13" s="28">
        <v>65</v>
      </c>
      <c r="L13" s="28">
        <v>100</v>
      </c>
      <c r="M13" s="39">
        <v>49</v>
      </c>
      <c r="N13" s="79">
        <f>SUM(Table2[[#This Row],[English]:[SST]])</f>
        <v>460</v>
      </c>
      <c r="O13" s="79">
        <f>RANK(Table2[[#This Row],[Marks Out of 600]],$N$3:$N$138,0)</f>
        <v>24</v>
      </c>
    </row>
    <row r="14" spans="1:15" x14ac:dyDescent="0.25">
      <c r="A14" s="37" t="s">
        <v>386</v>
      </c>
      <c r="B14" s="27" t="s">
        <v>26</v>
      </c>
      <c r="C14" s="28" t="s">
        <v>157</v>
      </c>
      <c r="D14" s="28" t="s">
        <v>272</v>
      </c>
      <c r="E14" s="28" t="s">
        <v>146</v>
      </c>
      <c r="F14" s="29">
        <v>40946</v>
      </c>
      <c r="G14" s="30" t="s">
        <v>371</v>
      </c>
      <c r="H14" s="27">
        <v>83</v>
      </c>
      <c r="I14" s="28">
        <v>77</v>
      </c>
      <c r="J14" s="28">
        <v>68</v>
      </c>
      <c r="K14" s="28">
        <v>96</v>
      </c>
      <c r="L14" s="28">
        <v>93</v>
      </c>
      <c r="M14" s="39">
        <v>82</v>
      </c>
      <c r="N14" s="79">
        <f>SUM(Table2[[#This Row],[English]:[SST]])</f>
        <v>499</v>
      </c>
      <c r="O14" s="79">
        <f>RANK(Table2[[#This Row],[Marks Out of 600]],$N$3:$N$138,0)</f>
        <v>3</v>
      </c>
    </row>
    <row r="15" spans="1:15" x14ac:dyDescent="0.25">
      <c r="A15" s="37" t="s">
        <v>387</v>
      </c>
      <c r="B15" s="27" t="s">
        <v>27</v>
      </c>
      <c r="C15" s="28" t="s">
        <v>158</v>
      </c>
      <c r="D15" s="28" t="s">
        <v>273</v>
      </c>
      <c r="E15" s="28" t="s">
        <v>146</v>
      </c>
      <c r="F15" s="29">
        <v>41168</v>
      </c>
      <c r="G15" s="30" t="s">
        <v>371</v>
      </c>
      <c r="H15" s="27">
        <v>79</v>
      </c>
      <c r="I15" s="28">
        <v>69</v>
      </c>
      <c r="J15" s="28">
        <v>78</v>
      </c>
      <c r="K15" s="28">
        <v>75</v>
      </c>
      <c r="L15" s="28">
        <v>70</v>
      </c>
      <c r="M15" s="39">
        <v>81</v>
      </c>
      <c r="N15" s="79">
        <f>SUM(Table2[[#This Row],[English]:[SST]])</f>
        <v>452</v>
      </c>
      <c r="O15" s="79">
        <f>RANK(Table2[[#This Row],[Marks Out of 600]],$N$3:$N$138,0)</f>
        <v>32</v>
      </c>
    </row>
    <row r="16" spans="1:15" x14ac:dyDescent="0.25">
      <c r="A16" s="37" t="s">
        <v>388</v>
      </c>
      <c r="B16" s="27" t="s">
        <v>28</v>
      </c>
      <c r="C16" s="28" t="s">
        <v>159</v>
      </c>
      <c r="D16" s="28" t="s">
        <v>274</v>
      </c>
      <c r="E16" s="28" t="s">
        <v>146</v>
      </c>
      <c r="F16" s="29">
        <v>41101</v>
      </c>
      <c r="G16" s="30" t="s">
        <v>371</v>
      </c>
      <c r="H16" s="27">
        <v>52</v>
      </c>
      <c r="I16" s="28">
        <v>40</v>
      </c>
      <c r="J16" s="28">
        <v>75</v>
      </c>
      <c r="K16" s="28">
        <v>51</v>
      </c>
      <c r="L16" s="28">
        <v>46</v>
      </c>
      <c r="M16" s="39">
        <v>53</v>
      </c>
      <c r="N16" s="79">
        <f>SUM(Table2[[#This Row],[English]:[SST]])</f>
        <v>317</v>
      </c>
      <c r="O16" s="79">
        <f>RANK(Table2[[#This Row],[Marks Out of 600]],$N$3:$N$138,0)</f>
        <v>127</v>
      </c>
    </row>
    <row r="17" spans="1:15" x14ac:dyDescent="0.25">
      <c r="A17" s="37" t="s">
        <v>389</v>
      </c>
      <c r="B17" s="27" t="s">
        <v>29</v>
      </c>
      <c r="C17" s="28" t="s">
        <v>160</v>
      </c>
      <c r="D17" s="28" t="s">
        <v>275</v>
      </c>
      <c r="E17" s="28" t="s">
        <v>145</v>
      </c>
      <c r="F17" s="29">
        <v>41090</v>
      </c>
      <c r="G17" s="30" t="s">
        <v>371</v>
      </c>
      <c r="H17" s="27">
        <v>79</v>
      </c>
      <c r="I17" s="28">
        <v>75</v>
      </c>
      <c r="J17" s="28">
        <v>41</v>
      </c>
      <c r="K17" s="28">
        <v>79</v>
      </c>
      <c r="L17" s="28">
        <v>68</v>
      </c>
      <c r="M17" s="39">
        <v>78</v>
      </c>
      <c r="N17" s="79">
        <f>SUM(Table2[[#This Row],[English]:[SST]])</f>
        <v>420</v>
      </c>
      <c r="O17" s="79">
        <f>RANK(Table2[[#This Row],[Marks Out of 600]],$N$3:$N$138,0)</f>
        <v>56</v>
      </c>
    </row>
    <row r="18" spans="1:15" x14ac:dyDescent="0.25">
      <c r="A18" s="37" t="s">
        <v>390</v>
      </c>
      <c r="B18" s="27" t="s">
        <v>30</v>
      </c>
      <c r="C18" s="28" t="s">
        <v>161</v>
      </c>
      <c r="D18" s="28" t="s">
        <v>269</v>
      </c>
      <c r="E18" s="28" t="s">
        <v>145</v>
      </c>
      <c r="F18" s="29">
        <v>40977</v>
      </c>
      <c r="G18" s="30" t="s">
        <v>371</v>
      </c>
      <c r="H18" s="27">
        <v>54</v>
      </c>
      <c r="I18" s="28">
        <v>51</v>
      </c>
      <c r="J18" s="28">
        <v>73</v>
      </c>
      <c r="K18" s="28">
        <v>43</v>
      </c>
      <c r="L18" s="28">
        <v>53</v>
      </c>
      <c r="M18" s="39">
        <v>63</v>
      </c>
      <c r="N18" s="79">
        <f>SUM(Table2[[#This Row],[English]:[SST]])</f>
        <v>337</v>
      </c>
      <c r="O18" s="79">
        <f>RANK(Table2[[#This Row],[Marks Out of 600]],$N$3:$N$138,0)</f>
        <v>118</v>
      </c>
    </row>
    <row r="19" spans="1:15" x14ac:dyDescent="0.25">
      <c r="A19" s="37" t="s">
        <v>391</v>
      </c>
      <c r="B19" s="27" t="s">
        <v>31</v>
      </c>
      <c r="C19" s="28" t="s">
        <v>162</v>
      </c>
      <c r="D19" s="28" t="s">
        <v>276</v>
      </c>
      <c r="E19" s="28" t="s">
        <v>145</v>
      </c>
      <c r="F19" s="29">
        <v>41107</v>
      </c>
      <c r="G19" s="30" t="s">
        <v>371</v>
      </c>
      <c r="H19" s="27">
        <v>84</v>
      </c>
      <c r="I19" s="28">
        <v>78</v>
      </c>
      <c r="J19" s="28">
        <v>47</v>
      </c>
      <c r="K19" s="28">
        <v>84</v>
      </c>
      <c r="L19" s="28">
        <v>85</v>
      </c>
      <c r="M19" s="39">
        <v>86</v>
      </c>
      <c r="N19" s="79">
        <f>SUM(Table2[[#This Row],[English]:[SST]])</f>
        <v>464</v>
      </c>
      <c r="O19" s="79">
        <f>RANK(Table2[[#This Row],[Marks Out of 600]],$N$3:$N$138,0)</f>
        <v>22</v>
      </c>
    </row>
    <row r="20" spans="1:15" x14ac:dyDescent="0.25">
      <c r="A20" s="37" t="s">
        <v>392</v>
      </c>
      <c r="B20" s="27" t="s">
        <v>32</v>
      </c>
      <c r="C20" s="28" t="s">
        <v>156</v>
      </c>
      <c r="D20" s="28" t="s">
        <v>277</v>
      </c>
      <c r="E20" s="28" t="s">
        <v>146</v>
      </c>
      <c r="F20" s="29">
        <v>41368</v>
      </c>
      <c r="G20" s="30" t="s">
        <v>371</v>
      </c>
      <c r="H20" s="27">
        <v>66</v>
      </c>
      <c r="I20" s="28">
        <v>52</v>
      </c>
      <c r="J20" s="28">
        <v>73</v>
      </c>
      <c r="K20" s="28">
        <v>77</v>
      </c>
      <c r="L20" s="28">
        <v>60</v>
      </c>
      <c r="M20" s="39">
        <v>70</v>
      </c>
      <c r="N20" s="79">
        <f>SUM(Table2[[#This Row],[English]:[SST]])</f>
        <v>398</v>
      </c>
      <c r="O20" s="79">
        <f>RANK(Table2[[#This Row],[Marks Out of 600]],$N$3:$N$138,0)</f>
        <v>75</v>
      </c>
    </row>
    <row r="21" spans="1:15" x14ac:dyDescent="0.25">
      <c r="A21" s="37" t="s">
        <v>393</v>
      </c>
      <c r="B21" s="27" t="s">
        <v>33</v>
      </c>
      <c r="C21" s="28" t="s">
        <v>163</v>
      </c>
      <c r="D21" s="28" t="s">
        <v>278</v>
      </c>
      <c r="E21" s="28" t="s">
        <v>146</v>
      </c>
      <c r="F21" s="29">
        <v>40949</v>
      </c>
      <c r="G21" s="30" t="s">
        <v>371</v>
      </c>
      <c r="H21" s="27">
        <v>85</v>
      </c>
      <c r="I21" s="28">
        <v>84</v>
      </c>
      <c r="J21" s="28">
        <v>51</v>
      </c>
      <c r="K21" s="28">
        <v>76</v>
      </c>
      <c r="L21" s="28">
        <v>82</v>
      </c>
      <c r="M21" s="39">
        <v>91</v>
      </c>
      <c r="N21" s="79">
        <f>SUM(Table2[[#This Row],[English]:[SST]])</f>
        <v>469</v>
      </c>
      <c r="O21" s="79">
        <f>RANK(Table2[[#This Row],[Marks Out of 600]],$N$3:$N$138,0)</f>
        <v>19</v>
      </c>
    </row>
    <row r="22" spans="1:15" x14ac:dyDescent="0.25">
      <c r="A22" s="37" t="s">
        <v>394</v>
      </c>
      <c r="B22" s="27" t="s">
        <v>34</v>
      </c>
      <c r="C22" s="28" t="s">
        <v>529</v>
      </c>
      <c r="D22" s="28" t="s">
        <v>530</v>
      </c>
      <c r="E22" s="28" t="s">
        <v>145</v>
      </c>
      <c r="F22" s="29">
        <v>41363</v>
      </c>
      <c r="G22" s="30" t="s">
        <v>371</v>
      </c>
      <c r="H22" s="27">
        <v>59</v>
      </c>
      <c r="I22" s="28">
        <v>43</v>
      </c>
      <c r="J22" s="28">
        <v>82</v>
      </c>
      <c r="K22" s="28">
        <v>48</v>
      </c>
      <c r="L22" s="28">
        <v>47</v>
      </c>
      <c r="M22" s="39">
        <v>63</v>
      </c>
      <c r="N22" s="79">
        <f>SUM(Table2[[#This Row],[English]:[SST]])</f>
        <v>342</v>
      </c>
      <c r="O22" s="79">
        <f>RANK(Table2[[#This Row],[Marks Out of 600]],$N$3:$N$138,0)</f>
        <v>116</v>
      </c>
    </row>
    <row r="23" spans="1:15" x14ac:dyDescent="0.25">
      <c r="A23" s="37" t="s">
        <v>395</v>
      </c>
      <c r="B23" s="27" t="s">
        <v>35</v>
      </c>
      <c r="C23" s="28" t="s">
        <v>164</v>
      </c>
      <c r="D23" s="28" t="s">
        <v>279</v>
      </c>
      <c r="E23" s="28" t="s">
        <v>145</v>
      </c>
      <c r="F23" s="29">
        <v>40974</v>
      </c>
      <c r="G23" s="30" t="s">
        <v>371</v>
      </c>
      <c r="H23" s="27">
        <v>55</v>
      </c>
      <c r="I23" s="28">
        <v>43</v>
      </c>
      <c r="J23" s="28">
        <v>40</v>
      </c>
      <c r="K23" s="28">
        <v>59</v>
      </c>
      <c r="L23" s="28">
        <v>44</v>
      </c>
      <c r="M23" s="39">
        <v>62</v>
      </c>
      <c r="N23" s="79">
        <f>SUM(Table2[[#This Row],[English]:[SST]])</f>
        <v>303</v>
      </c>
      <c r="O23" s="79">
        <f>RANK(Table2[[#This Row],[Marks Out of 600]],$N$3:$N$138,0)</f>
        <v>132</v>
      </c>
    </row>
    <row r="24" spans="1:15" x14ac:dyDescent="0.25">
      <c r="A24" s="37" t="s">
        <v>396</v>
      </c>
      <c r="B24" s="27" t="s">
        <v>36</v>
      </c>
      <c r="C24" s="28" t="s">
        <v>165</v>
      </c>
      <c r="D24" s="28" t="s">
        <v>280</v>
      </c>
      <c r="E24" s="28" t="s">
        <v>146</v>
      </c>
      <c r="F24" s="29">
        <v>41346</v>
      </c>
      <c r="G24" s="30" t="s">
        <v>371</v>
      </c>
      <c r="H24" s="27">
        <v>69</v>
      </c>
      <c r="I24" s="28">
        <v>64</v>
      </c>
      <c r="J24" s="28">
        <v>53</v>
      </c>
      <c r="K24" s="28">
        <v>76</v>
      </c>
      <c r="L24" s="28">
        <v>63</v>
      </c>
      <c r="M24" s="39">
        <v>80</v>
      </c>
      <c r="N24" s="79">
        <f>SUM(Table2[[#This Row],[English]:[SST]])</f>
        <v>405</v>
      </c>
      <c r="O24" s="79">
        <f>RANK(Table2[[#This Row],[Marks Out of 600]],$N$3:$N$138,0)</f>
        <v>69</v>
      </c>
    </row>
    <row r="25" spans="1:15" x14ac:dyDescent="0.25">
      <c r="A25" s="37" t="s">
        <v>397</v>
      </c>
      <c r="B25" s="27" t="s">
        <v>37</v>
      </c>
      <c r="C25" s="28" t="s">
        <v>166</v>
      </c>
      <c r="D25" s="28" t="s">
        <v>281</v>
      </c>
      <c r="E25" s="28" t="s">
        <v>145</v>
      </c>
      <c r="F25" s="29">
        <v>41015</v>
      </c>
      <c r="G25" s="30" t="s">
        <v>371</v>
      </c>
      <c r="H25" s="27">
        <v>77</v>
      </c>
      <c r="I25" s="28">
        <v>68</v>
      </c>
      <c r="J25" s="28">
        <v>62</v>
      </c>
      <c r="K25" s="28">
        <v>77</v>
      </c>
      <c r="L25" s="28">
        <v>64</v>
      </c>
      <c r="M25" s="39">
        <v>72</v>
      </c>
      <c r="N25" s="79">
        <f>SUM(Table2[[#This Row],[English]:[SST]])</f>
        <v>420</v>
      </c>
      <c r="O25" s="79">
        <f>RANK(Table2[[#This Row],[Marks Out of 600]],$N$3:$N$138,0)</f>
        <v>56</v>
      </c>
    </row>
    <row r="26" spans="1:15" x14ac:dyDescent="0.25">
      <c r="A26" s="37" t="s">
        <v>398</v>
      </c>
      <c r="B26" s="27" t="s">
        <v>38</v>
      </c>
      <c r="C26" s="28" t="s">
        <v>167</v>
      </c>
      <c r="D26" s="28" t="s">
        <v>282</v>
      </c>
      <c r="E26" s="28" t="s">
        <v>146</v>
      </c>
      <c r="F26" s="29">
        <v>41013</v>
      </c>
      <c r="G26" s="30" t="s">
        <v>371</v>
      </c>
      <c r="H26" s="27">
        <v>81</v>
      </c>
      <c r="I26" s="28">
        <v>75</v>
      </c>
      <c r="J26" s="28">
        <v>69</v>
      </c>
      <c r="K26" s="28">
        <v>83</v>
      </c>
      <c r="L26" s="28">
        <v>85</v>
      </c>
      <c r="M26" s="39">
        <v>87</v>
      </c>
      <c r="N26" s="79">
        <f>SUM(Table2[[#This Row],[English]:[SST]])</f>
        <v>480</v>
      </c>
      <c r="O26" s="79">
        <f>RANK(Table2[[#This Row],[Marks Out of 600]],$N$3:$N$138,0)</f>
        <v>15</v>
      </c>
    </row>
    <row r="27" spans="1:15" x14ac:dyDescent="0.25">
      <c r="A27" s="37" t="s">
        <v>399</v>
      </c>
      <c r="B27" s="27" t="s">
        <v>39</v>
      </c>
      <c r="C27" s="28" t="s">
        <v>168</v>
      </c>
      <c r="D27" s="28" t="s">
        <v>283</v>
      </c>
      <c r="E27" s="28" t="s">
        <v>146</v>
      </c>
      <c r="F27" s="29">
        <v>41208</v>
      </c>
      <c r="G27" s="30" t="s">
        <v>371</v>
      </c>
      <c r="H27" s="27">
        <v>66</v>
      </c>
      <c r="I27" s="28">
        <v>48</v>
      </c>
      <c r="J27" s="28">
        <v>77</v>
      </c>
      <c r="K27" s="28">
        <v>39</v>
      </c>
      <c r="L27" s="28">
        <v>38</v>
      </c>
      <c r="M27" s="39">
        <v>66</v>
      </c>
      <c r="N27" s="79">
        <f>SUM(Table2[[#This Row],[English]:[SST]])</f>
        <v>334</v>
      </c>
      <c r="O27" s="79">
        <f>RANK(Table2[[#This Row],[Marks Out of 600]],$N$3:$N$138,0)</f>
        <v>122</v>
      </c>
    </row>
    <row r="28" spans="1:15" x14ac:dyDescent="0.25">
      <c r="A28" s="37" t="s">
        <v>400</v>
      </c>
      <c r="B28" s="27" t="s">
        <v>40</v>
      </c>
      <c r="C28" s="28" t="s">
        <v>169</v>
      </c>
      <c r="D28" s="28" t="s">
        <v>284</v>
      </c>
      <c r="E28" s="28" t="s">
        <v>146</v>
      </c>
      <c r="F28" s="29">
        <v>41380</v>
      </c>
      <c r="G28" s="30" t="s">
        <v>371</v>
      </c>
      <c r="H28" s="27">
        <v>83</v>
      </c>
      <c r="I28" s="28">
        <v>79</v>
      </c>
      <c r="J28" s="28">
        <v>45</v>
      </c>
      <c r="K28" s="28">
        <v>91</v>
      </c>
      <c r="L28" s="28">
        <v>84</v>
      </c>
      <c r="M28" s="39">
        <v>90</v>
      </c>
      <c r="N28" s="79">
        <f>SUM(Table2[[#This Row],[English]:[SST]])</f>
        <v>472</v>
      </c>
      <c r="O28" s="79">
        <f>RANK(Table2[[#This Row],[Marks Out of 600]],$N$3:$N$138,0)</f>
        <v>17</v>
      </c>
    </row>
    <row r="29" spans="1:15" x14ac:dyDescent="0.25">
      <c r="A29" s="37" t="s">
        <v>401</v>
      </c>
      <c r="B29" s="27" t="s">
        <v>41</v>
      </c>
      <c r="C29" s="28" t="s">
        <v>169</v>
      </c>
      <c r="D29" s="28" t="s">
        <v>284</v>
      </c>
      <c r="E29" s="28" t="s">
        <v>145</v>
      </c>
      <c r="F29" s="29">
        <v>41247</v>
      </c>
      <c r="G29" s="30" t="s">
        <v>371</v>
      </c>
      <c r="H29" s="27">
        <v>81</v>
      </c>
      <c r="I29" s="28">
        <v>78</v>
      </c>
      <c r="J29" s="28">
        <v>76</v>
      </c>
      <c r="K29" s="28">
        <v>94</v>
      </c>
      <c r="L29" s="28">
        <v>88</v>
      </c>
      <c r="M29" s="39">
        <v>85</v>
      </c>
      <c r="N29" s="79">
        <f>SUM(Table2[[#This Row],[English]:[SST]])</f>
        <v>502</v>
      </c>
      <c r="O29" s="79">
        <f>RANK(Table2[[#This Row],[Marks Out of 600]],$N$3:$N$138,0)</f>
        <v>2</v>
      </c>
    </row>
    <row r="30" spans="1:15" x14ac:dyDescent="0.25">
      <c r="A30" s="37" t="s">
        <v>402</v>
      </c>
      <c r="B30" s="27" t="s">
        <v>42</v>
      </c>
      <c r="C30" s="28" t="s">
        <v>170</v>
      </c>
      <c r="D30" s="28" t="s">
        <v>274</v>
      </c>
      <c r="E30" s="28" t="s">
        <v>146</v>
      </c>
      <c r="F30" s="29">
        <v>40945</v>
      </c>
      <c r="G30" s="30" t="s">
        <v>371</v>
      </c>
      <c r="H30" s="27">
        <v>65</v>
      </c>
      <c r="I30" s="28">
        <v>50</v>
      </c>
      <c r="J30" s="28">
        <v>75</v>
      </c>
      <c r="K30" s="28">
        <v>75</v>
      </c>
      <c r="L30" s="28">
        <v>70</v>
      </c>
      <c r="M30" s="39">
        <v>80</v>
      </c>
      <c r="N30" s="79">
        <f>SUM(Table2[[#This Row],[English]:[SST]])</f>
        <v>415</v>
      </c>
      <c r="O30" s="79">
        <f>RANK(Table2[[#This Row],[Marks Out of 600]],$N$3:$N$138,0)</f>
        <v>60</v>
      </c>
    </row>
    <row r="31" spans="1:15" x14ac:dyDescent="0.25">
      <c r="A31" s="37" t="s">
        <v>403</v>
      </c>
      <c r="B31" s="27" t="s">
        <v>43</v>
      </c>
      <c r="C31" s="28" t="s">
        <v>171</v>
      </c>
      <c r="D31" s="28" t="s">
        <v>267</v>
      </c>
      <c r="E31" s="28" t="s">
        <v>146</v>
      </c>
      <c r="F31" s="29">
        <v>41176</v>
      </c>
      <c r="G31" s="30" t="s">
        <v>371</v>
      </c>
      <c r="H31" s="27">
        <v>59</v>
      </c>
      <c r="I31" s="28">
        <v>39</v>
      </c>
      <c r="J31" s="28">
        <v>39</v>
      </c>
      <c r="K31" s="28">
        <v>38</v>
      </c>
      <c r="L31" s="28">
        <v>35</v>
      </c>
      <c r="M31" s="39">
        <v>62</v>
      </c>
      <c r="N31" s="79">
        <f>SUM(Table2[[#This Row],[English]:[SST]])</f>
        <v>272</v>
      </c>
      <c r="O31" s="79">
        <f>RANK(Table2[[#This Row],[Marks Out of 600]],$N$3:$N$138,0)</f>
        <v>136</v>
      </c>
    </row>
    <row r="32" spans="1:15" x14ac:dyDescent="0.25">
      <c r="A32" s="37" t="s">
        <v>404</v>
      </c>
      <c r="B32" s="27" t="s">
        <v>44</v>
      </c>
      <c r="C32" s="28" t="s">
        <v>172</v>
      </c>
      <c r="D32" s="28" t="s">
        <v>285</v>
      </c>
      <c r="E32" s="28" t="s">
        <v>145</v>
      </c>
      <c r="F32" s="29">
        <v>41207</v>
      </c>
      <c r="G32" s="30" t="s">
        <v>371</v>
      </c>
      <c r="H32" s="27">
        <v>62</v>
      </c>
      <c r="I32" s="28">
        <v>35</v>
      </c>
      <c r="J32" s="28">
        <v>42</v>
      </c>
      <c r="K32" s="28">
        <v>42</v>
      </c>
      <c r="L32" s="28">
        <v>47</v>
      </c>
      <c r="M32" s="39">
        <v>52</v>
      </c>
      <c r="N32" s="79">
        <f>SUM(Table2[[#This Row],[English]:[SST]])</f>
        <v>280</v>
      </c>
      <c r="O32" s="79">
        <f>RANK(Table2[[#This Row],[Marks Out of 600]],$N$3:$N$138,0)</f>
        <v>135</v>
      </c>
    </row>
    <row r="33" spans="1:15" x14ac:dyDescent="0.25">
      <c r="A33" s="37" t="s">
        <v>405</v>
      </c>
      <c r="B33" s="27" t="s">
        <v>45</v>
      </c>
      <c r="C33" s="28" t="s">
        <v>531</v>
      </c>
      <c r="D33" s="28" t="s">
        <v>532</v>
      </c>
      <c r="E33" s="28" t="s">
        <v>145</v>
      </c>
      <c r="F33" s="29">
        <v>40931</v>
      </c>
      <c r="G33" s="30" t="s">
        <v>371</v>
      </c>
      <c r="H33" s="27">
        <v>83</v>
      </c>
      <c r="I33" s="28">
        <v>70</v>
      </c>
      <c r="J33" s="28">
        <v>35</v>
      </c>
      <c r="K33" s="28">
        <v>64</v>
      </c>
      <c r="L33" s="28">
        <v>71</v>
      </c>
      <c r="M33" s="39">
        <v>87</v>
      </c>
      <c r="N33" s="79">
        <f>SUM(Table2[[#This Row],[English]:[SST]])</f>
        <v>410</v>
      </c>
      <c r="O33" s="79">
        <f>RANK(Table2[[#This Row],[Marks Out of 600]],$N$3:$N$138,0)</f>
        <v>62</v>
      </c>
    </row>
    <row r="34" spans="1:15" x14ac:dyDescent="0.25">
      <c r="A34" s="37" t="s">
        <v>406</v>
      </c>
      <c r="B34" s="27" t="s">
        <v>46</v>
      </c>
      <c r="C34" s="28" t="s">
        <v>173</v>
      </c>
      <c r="D34" s="28" t="s">
        <v>286</v>
      </c>
      <c r="E34" s="28" t="s">
        <v>146</v>
      </c>
      <c r="F34" s="29">
        <v>40938</v>
      </c>
      <c r="G34" s="30" t="s">
        <v>371</v>
      </c>
      <c r="H34" s="27">
        <v>79</v>
      </c>
      <c r="I34" s="28">
        <v>69</v>
      </c>
      <c r="J34" s="28">
        <v>82</v>
      </c>
      <c r="K34" s="28">
        <v>64</v>
      </c>
      <c r="L34" s="28">
        <v>58</v>
      </c>
      <c r="M34" s="39">
        <v>62</v>
      </c>
      <c r="N34" s="79">
        <f>SUM(Table2[[#This Row],[English]:[SST]])</f>
        <v>414</v>
      </c>
      <c r="O34" s="79">
        <f>RANK(Table2[[#This Row],[Marks Out of 600]],$N$3:$N$138,0)</f>
        <v>61</v>
      </c>
    </row>
    <row r="35" spans="1:15" x14ac:dyDescent="0.25">
      <c r="A35" s="37" t="s">
        <v>407</v>
      </c>
      <c r="B35" s="27" t="s">
        <v>47</v>
      </c>
      <c r="C35" s="28" t="s">
        <v>174</v>
      </c>
      <c r="D35" s="28" t="s">
        <v>287</v>
      </c>
      <c r="E35" s="28" t="s">
        <v>146</v>
      </c>
      <c r="F35" s="29">
        <v>41070</v>
      </c>
      <c r="G35" s="30" t="s">
        <v>371</v>
      </c>
      <c r="H35" s="27">
        <v>85</v>
      </c>
      <c r="I35" s="28">
        <v>72</v>
      </c>
      <c r="J35" s="28">
        <v>73</v>
      </c>
      <c r="K35" s="28">
        <v>95</v>
      </c>
      <c r="L35" s="28">
        <v>85</v>
      </c>
      <c r="M35" s="39">
        <v>87</v>
      </c>
      <c r="N35" s="79">
        <f>SUM(Table2[[#This Row],[English]:[SST]])</f>
        <v>497</v>
      </c>
      <c r="O35" s="79">
        <f>RANK(Table2[[#This Row],[Marks Out of 600]],$N$3:$N$138,0)</f>
        <v>6</v>
      </c>
    </row>
    <row r="36" spans="1:15" x14ac:dyDescent="0.25">
      <c r="A36" s="37" t="s">
        <v>408</v>
      </c>
      <c r="B36" s="27" t="s">
        <v>48</v>
      </c>
      <c r="C36" s="28" t="s">
        <v>175</v>
      </c>
      <c r="D36" s="28" t="s">
        <v>288</v>
      </c>
      <c r="E36" s="28" t="s">
        <v>146</v>
      </c>
      <c r="F36" s="29">
        <v>40986</v>
      </c>
      <c r="G36" s="30" t="s">
        <v>371</v>
      </c>
      <c r="H36" s="27">
        <v>62</v>
      </c>
      <c r="I36" s="28">
        <v>59</v>
      </c>
      <c r="J36" s="28">
        <v>72</v>
      </c>
      <c r="K36" s="28">
        <v>52</v>
      </c>
      <c r="L36" s="28">
        <v>67</v>
      </c>
      <c r="M36" s="39">
        <v>68</v>
      </c>
      <c r="N36" s="79">
        <f>SUM(Table2[[#This Row],[English]:[SST]])</f>
        <v>380</v>
      </c>
      <c r="O36" s="79">
        <f>RANK(Table2[[#This Row],[Marks Out of 600]],$N$3:$N$138,0)</f>
        <v>87</v>
      </c>
    </row>
    <row r="37" spans="1:15" x14ac:dyDescent="0.25">
      <c r="A37" s="37" t="s">
        <v>409</v>
      </c>
      <c r="B37" s="27" t="s">
        <v>49</v>
      </c>
      <c r="C37" s="28" t="s">
        <v>176</v>
      </c>
      <c r="D37" s="28" t="s">
        <v>288</v>
      </c>
      <c r="E37" s="28" t="s">
        <v>145</v>
      </c>
      <c r="F37" s="29">
        <v>40951</v>
      </c>
      <c r="G37" s="30" t="s">
        <v>371</v>
      </c>
      <c r="H37" s="27">
        <v>60</v>
      </c>
      <c r="I37" s="28">
        <v>54</v>
      </c>
      <c r="J37" s="28">
        <v>52</v>
      </c>
      <c r="K37" s="28">
        <v>42</v>
      </c>
      <c r="L37" s="28">
        <v>38</v>
      </c>
      <c r="M37" s="39">
        <v>64</v>
      </c>
      <c r="N37" s="79">
        <f>SUM(Table2[[#This Row],[English]:[SST]])</f>
        <v>310</v>
      </c>
      <c r="O37" s="79">
        <f>RANK(Table2[[#This Row],[Marks Out of 600]],$N$3:$N$138,0)</f>
        <v>130</v>
      </c>
    </row>
    <row r="38" spans="1:15" x14ac:dyDescent="0.25">
      <c r="A38" s="37" t="s">
        <v>410</v>
      </c>
      <c r="B38" s="27" t="s">
        <v>50</v>
      </c>
      <c r="C38" s="28" t="s">
        <v>177</v>
      </c>
      <c r="D38" s="28" t="s">
        <v>289</v>
      </c>
      <c r="E38" s="28" t="s">
        <v>146</v>
      </c>
      <c r="F38" s="29">
        <v>41133</v>
      </c>
      <c r="G38" s="30" t="s">
        <v>371</v>
      </c>
      <c r="H38" s="27">
        <v>77</v>
      </c>
      <c r="I38" s="28">
        <v>56</v>
      </c>
      <c r="J38" s="28">
        <v>42</v>
      </c>
      <c r="K38" s="28">
        <v>75</v>
      </c>
      <c r="L38" s="28">
        <v>80</v>
      </c>
      <c r="M38" s="39">
        <v>86</v>
      </c>
      <c r="N38" s="79">
        <f>SUM(Table2[[#This Row],[English]:[SST]])</f>
        <v>416</v>
      </c>
      <c r="O38" s="79">
        <f>RANK(Table2[[#This Row],[Marks Out of 600]],$N$3:$N$138,0)</f>
        <v>59</v>
      </c>
    </row>
    <row r="39" spans="1:15" x14ac:dyDescent="0.25">
      <c r="A39" s="37" t="s">
        <v>411</v>
      </c>
      <c r="B39" s="27" t="s">
        <v>51</v>
      </c>
      <c r="C39" s="28" t="s">
        <v>178</v>
      </c>
      <c r="D39" s="28" t="s">
        <v>290</v>
      </c>
      <c r="E39" s="28" t="s">
        <v>145</v>
      </c>
      <c r="F39" s="29">
        <v>40916</v>
      </c>
      <c r="G39" s="30" t="s">
        <v>371</v>
      </c>
      <c r="H39" s="27">
        <v>73</v>
      </c>
      <c r="I39" s="28">
        <v>59</v>
      </c>
      <c r="J39" s="28">
        <v>60</v>
      </c>
      <c r="K39" s="28">
        <v>66</v>
      </c>
      <c r="L39" s="28">
        <v>66</v>
      </c>
      <c r="M39" s="39">
        <v>63</v>
      </c>
      <c r="N39" s="79">
        <f>SUM(Table2[[#This Row],[English]:[SST]])</f>
        <v>387</v>
      </c>
      <c r="O39" s="79">
        <f>RANK(Table2[[#This Row],[Marks Out of 600]],$N$3:$N$138,0)</f>
        <v>81</v>
      </c>
    </row>
    <row r="40" spans="1:15" x14ac:dyDescent="0.25">
      <c r="A40" s="37" t="s">
        <v>412</v>
      </c>
      <c r="B40" s="27" t="s">
        <v>52</v>
      </c>
      <c r="C40" s="28" t="s">
        <v>179</v>
      </c>
      <c r="D40" s="28" t="s">
        <v>291</v>
      </c>
      <c r="E40" s="28" t="s">
        <v>145</v>
      </c>
      <c r="F40" s="29">
        <v>41268</v>
      </c>
      <c r="G40" s="30" t="s">
        <v>371</v>
      </c>
      <c r="H40" s="27">
        <v>74</v>
      </c>
      <c r="I40" s="28">
        <v>78</v>
      </c>
      <c r="J40" s="28">
        <v>53</v>
      </c>
      <c r="K40" s="28">
        <v>93</v>
      </c>
      <c r="L40" s="28">
        <v>82</v>
      </c>
      <c r="M40" s="39">
        <v>88</v>
      </c>
      <c r="N40" s="79">
        <f>SUM(Table2[[#This Row],[English]:[SST]])</f>
        <v>468</v>
      </c>
      <c r="O40" s="79">
        <f>RANK(Table2[[#This Row],[Marks Out of 600]],$N$3:$N$138,0)</f>
        <v>20</v>
      </c>
    </row>
    <row r="41" spans="1:15" x14ac:dyDescent="0.25">
      <c r="A41" s="37" t="s">
        <v>413</v>
      </c>
      <c r="B41" s="27" t="s">
        <v>53</v>
      </c>
      <c r="C41" s="28" t="s">
        <v>180</v>
      </c>
      <c r="D41" s="28" t="s">
        <v>292</v>
      </c>
      <c r="E41" s="28" t="s">
        <v>146</v>
      </c>
      <c r="F41" s="29">
        <v>41056</v>
      </c>
      <c r="G41" s="30" t="s">
        <v>371</v>
      </c>
      <c r="H41" s="27">
        <v>77</v>
      </c>
      <c r="I41" s="28">
        <v>71</v>
      </c>
      <c r="J41" s="28">
        <v>73</v>
      </c>
      <c r="K41" s="28">
        <v>81</v>
      </c>
      <c r="L41" s="28">
        <v>69</v>
      </c>
      <c r="M41" s="39">
        <v>73</v>
      </c>
      <c r="N41" s="79">
        <f>SUM(Table2[[#This Row],[English]:[SST]])</f>
        <v>444</v>
      </c>
      <c r="O41" s="79">
        <f>RANK(Table2[[#This Row],[Marks Out of 600]],$N$3:$N$138,0)</f>
        <v>36</v>
      </c>
    </row>
    <row r="42" spans="1:15" x14ac:dyDescent="0.25">
      <c r="A42" s="37" t="s">
        <v>414</v>
      </c>
      <c r="B42" s="27" t="s">
        <v>54</v>
      </c>
      <c r="C42" s="28" t="s">
        <v>181</v>
      </c>
      <c r="D42" s="28" t="s">
        <v>293</v>
      </c>
      <c r="E42" s="28" t="s">
        <v>146</v>
      </c>
      <c r="F42" s="29">
        <v>41172</v>
      </c>
      <c r="G42" s="30" t="s">
        <v>371</v>
      </c>
      <c r="H42" s="27">
        <v>73</v>
      </c>
      <c r="I42" s="28">
        <v>55</v>
      </c>
      <c r="J42" s="28">
        <v>58</v>
      </c>
      <c r="K42" s="28">
        <v>45</v>
      </c>
      <c r="L42" s="28">
        <v>49</v>
      </c>
      <c r="M42" s="39">
        <v>58</v>
      </c>
      <c r="N42" s="79">
        <f>SUM(Table2[[#This Row],[English]:[SST]])</f>
        <v>338</v>
      </c>
      <c r="O42" s="79">
        <f>RANK(Table2[[#This Row],[Marks Out of 600]],$N$3:$N$138,0)</f>
        <v>117</v>
      </c>
    </row>
    <row r="43" spans="1:15" x14ac:dyDescent="0.25">
      <c r="A43" s="37" t="s">
        <v>415</v>
      </c>
      <c r="B43" s="27" t="s">
        <v>55</v>
      </c>
      <c r="C43" s="28" t="s">
        <v>182</v>
      </c>
      <c r="D43" s="28" t="s">
        <v>270</v>
      </c>
      <c r="E43" s="28" t="s">
        <v>146</v>
      </c>
      <c r="F43" s="29">
        <v>41144</v>
      </c>
      <c r="G43" s="30" t="s">
        <v>371</v>
      </c>
      <c r="H43" s="27">
        <v>82</v>
      </c>
      <c r="I43" s="28">
        <v>73</v>
      </c>
      <c r="J43" s="28">
        <v>60</v>
      </c>
      <c r="K43" s="28">
        <v>85</v>
      </c>
      <c r="L43" s="28">
        <v>75</v>
      </c>
      <c r="M43" s="39">
        <v>78</v>
      </c>
      <c r="N43" s="79">
        <f>SUM(Table2[[#This Row],[English]:[SST]])</f>
        <v>453</v>
      </c>
      <c r="O43" s="79">
        <f>RANK(Table2[[#This Row],[Marks Out of 600]],$N$3:$N$138,0)</f>
        <v>29</v>
      </c>
    </row>
    <row r="44" spans="1:15" x14ac:dyDescent="0.25">
      <c r="A44" s="37" t="s">
        <v>416</v>
      </c>
      <c r="B44" s="27" t="s">
        <v>56</v>
      </c>
      <c r="C44" s="28" t="s">
        <v>183</v>
      </c>
      <c r="D44" s="28" t="s">
        <v>294</v>
      </c>
      <c r="E44" s="28" t="s">
        <v>146</v>
      </c>
      <c r="F44" s="29">
        <v>40926</v>
      </c>
      <c r="G44" s="30" t="s">
        <v>371</v>
      </c>
      <c r="H44" s="27">
        <v>87</v>
      </c>
      <c r="I44" s="28">
        <v>78</v>
      </c>
      <c r="J44" s="28">
        <v>60</v>
      </c>
      <c r="K44" s="28">
        <v>93</v>
      </c>
      <c r="L44" s="28">
        <v>85</v>
      </c>
      <c r="M44" s="39">
        <v>86</v>
      </c>
      <c r="N44" s="79">
        <f>SUM(Table2[[#This Row],[English]:[SST]])</f>
        <v>489</v>
      </c>
      <c r="O44" s="79">
        <f>RANK(Table2[[#This Row],[Marks Out of 600]],$N$3:$N$138,0)</f>
        <v>13</v>
      </c>
    </row>
    <row r="45" spans="1:15" x14ac:dyDescent="0.25">
      <c r="A45" s="37" t="s">
        <v>417</v>
      </c>
      <c r="B45" s="27" t="s">
        <v>57</v>
      </c>
      <c r="C45" s="28" t="s">
        <v>184</v>
      </c>
      <c r="D45" s="28" t="s">
        <v>295</v>
      </c>
      <c r="E45" s="28" t="s">
        <v>146</v>
      </c>
      <c r="F45" s="29">
        <v>41229</v>
      </c>
      <c r="G45" s="30" t="s">
        <v>371</v>
      </c>
      <c r="H45" s="27">
        <v>57</v>
      </c>
      <c r="I45" s="28">
        <v>48</v>
      </c>
      <c r="J45" s="28">
        <v>67</v>
      </c>
      <c r="K45" s="28">
        <v>62</v>
      </c>
      <c r="L45" s="28">
        <v>43</v>
      </c>
      <c r="M45" s="39">
        <v>52</v>
      </c>
      <c r="N45" s="79">
        <f>SUM(Table2[[#This Row],[English]:[SST]])</f>
        <v>329</v>
      </c>
      <c r="O45" s="79">
        <f>RANK(Table2[[#This Row],[Marks Out of 600]],$N$3:$N$138,0)</f>
        <v>123</v>
      </c>
    </row>
    <row r="46" spans="1:15" x14ac:dyDescent="0.25">
      <c r="A46" s="37" t="s">
        <v>418</v>
      </c>
      <c r="B46" s="27" t="s">
        <v>58</v>
      </c>
      <c r="C46" s="28" t="s">
        <v>185</v>
      </c>
      <c r="D46" s="28" t="s">
        <v>296</v>
      </c>
      <c r="E46" s="28" t="s">
        <v>146</v>
      </c>
      <c r="F46" s="29">
        <v>40958</v>
      </c>
      <c r="G46" s="30" t="s">
        <v>372</v>
      </c>
      <c r="H46" s="27">
        <v>93</v>
      </c>
      <c r="I46" s="28">
        <v>88</v>
      </c>
      <c r="J46" s="28">
        <v>46</v>
      </c>
      <c r="K46" s="28">
        <v>90</v>
      </c>
      <c r="L46" s="28">
        <v>92</v>
      </c>
      <c r="M46" s="39">
        <v>90</v>
      </c>
      <c r="N46" s="79">
        <f>SUM(Table2[[#This Row],[English]:[SST]])</f>
        <v>499</v>
      </c>
      <c r="O46" s="79">
        <f>RANK(Table2[[#This Row],[Marks Out of 600]],$N$3:$N$138,0)</f>
        <v>3</v>
      </c>
    </row>
    <row r="47" spans="1:15" x14ac:dyDescent="0.25">
      <c r="A47" s="37" t="s">
        <v>419</v>
      </c>
      <c r="B47" s="27" t="s">
        <v>59</v>
      </c>
      <c r="C47" s="28" t="s">
        <v>186</v>
      </c>
      <c r="D47" s="28" t="s">
        <v>297</v>
      </c>
      <c r="E47" s="28" t="s">
        <v>146</v>
      </c>
      <c r="F47" s="29">
        <v>40851</v>
      </c>
      <c r="G47" s="30" t="s">
        <v>372</v>
      </c>
      <c r="H47" s="27">
        <v>69</v>
      </c>
      <c r="I47" s="28">
        <v>39</v>
      </c>
      <c r="J47" s="28">
        <v>86</v>
      </c>
      <c r="K47" s="28">
        <v>57</v>
      </c>
      <c r="L47" s="28">
        <v>51</v>
      </c>
      <c r="M47" s="39">
        <v>49</v>
      </c>
      <c r="N47" s="79">
        <f>SUM(Table2[[#This Row],[English]:[SST]])</f>
        <v>351</v>
      </c>
      <c r="O47" s="79">
        <f>RANK(Table2[[#This Row],[Marks Out of 600]],$N$3:$N$138,0)</f>
        <v>110</v>
      </c>
    </row>
    <row r="48" spans="1:15" x14ac:dyDescent="0.25">
      <c r="A48" s="37" t="s">
        <v>420</v>
      </c>
      <c r="B48" s="27" t="s">
        <v>60</v>
      </c>
      <c r="C48" s="28" t="s">
        <v>187</v>
      </c>
      <c r="D48" s="28" t="s">
        <v>298</v>
      </c>
      <c r="E48" s="28" t="s">
        <v>146</v>
      </c>
      <c r="F48" s="29">
        <v>40693</v>
      </c>
      <c r="G48" s="30" t="s">
        <v>372</v>
      </c>
      <c r="H48" s="27">
        <v>77</v>
      </c>
      <c r="I48" s="28">
        <v>68</v>
      </c>
      <c r="J48" s="28">
        <v>35</v>
      </c>
      <c r="K48" s="28">
        <v>70</v>
      </c>
      <c r="L48" s="28">
        <v>70</v>
      </c>
      <c r="M48" s="39">
        <v>71</v>
      </c>
      <c r="N48" s="79">
        <f>SUM(Table2[[#This Row],[English]:[SST]])</f>
        <v>391</v>
      </c>
      <c r="O48" s="79">
        <f>RANK(Table2[[#This Row],[Marks Out of 600]],$N$3:$N$138,0)</f>
        <v>79</v>
      </c>
    </row>
    <row r="49" spans="1:15" x14ac:dyDescent="0.25">
      <c r="A49" s="37" t="s">
        <v>421</v>
      </c>
      <c r="B49" s="27" t="s">
        <v>61</v>
      </c>
      <c r="C49" s="28" t="s">
        <v>188</v>
      </c>
      <c r="D49" s="28" t="s">
        <v>299</v>
      </c>
      <c r="E49" s="28" t="s">
        <v>146</v>
      </c>
      <c r="F49" s="29">
        <v>40811</v>
      </c>
      <c r="G49" s="30" t="s">
        <v>372</v>
      </c>
      <c r="H49" s="27">
        <v>78</v>
      </c>
      <c r="I49" s="28">
        <v>74</v>
      </c>
      <c r="J49" s="28">
        <v>64</v>
      </c>
      <c r="K49" s="28">
        <v>77</v>
      </c>
      <c r="L49" s="28">
        <v>74</v>
      </c>
      <c r="M49" s="39">
        <v>75</v>
      </c>
      <c r="N49" s="79">
        <f>SUM(Table2[[#This Row],[English]:[SST]])</f>
        <v>442</v>
      </c>
      <c r="O49" s="79">
        <f>RANK(Table2[[#This Row],[Marks Out of 600]],$N$3:$N$138,0)</f>
        <v>38</v>
      </c>
    </row>
    <row r="50" spans="1:15" x14ac:dyDescent="0.25">
      <c r="A50" s="37" t="s">
        <v>422</v>
      </c>
      <c r="B50" s="27" t="s">
        <v>62</v>
      </c>
      <c r="C50" s="28" t="s">
        <v>189</v>
      </c>
      <c r="D50" s="28" t="s">
        <v>300</v>
      </c>
      <c r="E50" s="28" t="s">
        <v>145</v>
      </c>
      <c r="F50" s="29">
        <v>40600</v>
      </c>
      <c r="G50" s="30" t="s">
        <v>372</v>
      </c>
      <c r="H50" s="27">
        <v>74</v>
      </c>
      <c r="I50" s="28">
        <v>74</v>
      </c>
      <c r="J50" s="28">
        <v>67</v>
      </c>
      <c r="K50" s="28">
        <v>81</v>
      </c>
      <c r="L50" s="28">
        <v>67</v>
      </c>
      <c r="M50" s="39">
        <v>69</v>
      </c>
      <c r="N50" s="79">
        <f>SUM(Table2[[#This Row],[English]:[SST]])</f>
        <v>432</v>
      </c>
      <c r="O50" s="79">
        <f>RANK(Table2[[#This Row],[Marks Out of 600]],$N$3:$N$138,0)</f>
        <v>48</v>
      </c>
    </row>
    <row r="51" spans="1:15" x14ac:dyDescent="0.25">
      <c r="A51" s="37" t="s">
        <v>423</v>
      </c>
      <c r="B51" s="27" t="s">
        <v>63</v>
      </c>
      <c r="C51" s="28" t="s">
        <v>190</v>
      </c>
      <c r="D51" s="28" t="s">
        <v>301</v>
      </c>
      <c r="E51" s="28" t="s">
        <v>145</v>
      </c>
      <c r="F51" s="29">
        <v>40678</v>
      </c>
      <c r="G51" s="30" t="s">
        <v>372</v>
      </c>
      <c r="H51" s="27">
        <v>85</v>
      </c>
      <c r="I51" s="28">
        <v>71</v>
      </c>
      <c r="J51" s="28">
        <v>80</v>
      </c>
      <c r="K51" s="28">
        <v>86</v>
      </c>
      <c r="L51" s="28">
        <v>80</v>
      </c>
      <c r="M51" s="39">
        <v>91</v>
      </c>
      <c r="N51" s="79">
        <f>SUM(Table2[[#This Row],[English]:[SST]])</f>
        <v>493</v>
      </c>
      <c r="O51" s="79">
        <f>RANK(Table2[[#This Row],[Marks Out of 600]],$N$3:$N$138,0)</f>
        <v>9</v>
      </c>
    </row>
    <row r="52" spans="1:15" x14ac:dyDescent="0.25">
      <c r="A52" s="37" t="s">
        <v>424</v>
      </c>
      <c r="B52" s="27" t="s">
        <v>64</v>
      </c>
      <c r="C52" s="28" t="s">
        <v>191</v>
      </c>
      <c r="D52" s="28" t="s">
        <v>302</v>
      </c>
      <c r="E52" s="28" t="s">
        <v>146</v>
      </c>
      <c r="F52" s="29">
        <v>41005</v>
      </c>
      <c r="G52" s="30" t="s">
        <v>372</v>
      </c>
      <c r="H52" s="27">
        <v>75</v>
      </c>
      <c r="I52" s="28">
        <v>55</v>
      </c>
      <c r="J52" s="28">
        <v>82</v>
      </c>
      <c r="K52" s="28">
        <v>35</v>
      </c>
      <c r="L52" s="28">
        <v>50</v>
      </c>
      <c r="M52" s="39">
        <v>53</v>
      </c>
      <c r="N52" s="79">
        <f>SUM(Table2[[#This Row],[English]:[SST]])</f>
        <v>350</v>
      </c>
      <c r="O52" s="79">
        <f>RANK(Table2[[#This Row],[Marks Out of 600]],$N$3:$N$138,0)</f>
        <v>111</v>
      </c>
    </row>
    <row r="53" spans="1:15" x14ac:dyDescent="0.25">
      <c r="A53" s="37" t="s">
        <v>425</v>
      </c>
      <c r="B53" s="27" t="s">
        <v>65</v>
      </c>
      <c r="C53" s="28" t="s">
        <v>192</v>
      </c>
      <c r="D53" s="28" t="s">
        <v>303</v>
      </c>
      <c r="E53" s="28" t="s">
        <v>146</v>
      </c>
      <c r="F53" s="29">
        <v>40981</v>
      </c>
      <c r="G53" s="30" t="s">
        <v>372</v>
      </c>
      <c r="H53" s="27">
        <v>58</v>
      </c>
      <c r="I53" s="28">
        <v>35</v>
      </c>
      <c r="J53" s="28">
        <v>46</v>
      </c>
      <c r="K53" s="28">
        <v>53</v>
      </c>
      <c r="L53" s="28">
        <v>47</v>
      </c>
      <c r="M53" s="39">
        <v>60</v>
      </c>
      <c r="N53" s="79">
        <f>SUM(Table2[[#This Row],[English]:[SST]])</f>
        <v>299</v>
      </c>
      <c r="O53" s="79">
        <f>RANK(Table2[[#This Row],[Marks Out of 600]],$N$3:$N$138,0)</f>
        <v>133</v>
      </c>
    </row>
    <row r="54" spans="1:15" x14ac:dyDescent="0.25">
      <c r="A54" s="37" t="s">
        <v>426</v>
      </c>
      <c r="B54" s="27" t="s">
        <v>66</v>
      </c>
      <c r="C54" s="28" t="s">
        <v>193</v>
      </c>
      <c r="D54" s="28" t="s">
        <v>304</v>
      </c>
      <c r="E54" s="28" t="s">
        <v>146</v>
      </c>
      <c r="F54" s="29">
        <v>40658</v>
      </c>
      <c r="G54" s="30" t="s">
        <v>372</v>
      </c>
      <c r="H54" s="27">
        <v>81</v>
      </c>
      <c r="I54" s="28">
        <v>80</v>
      </c>
      <c r="J54" s="28">
        <v>39</v>
      </c>
      <c r="K54" s="28">
        <v>77</v>
      </c>
      <c r="L54" s="28">
        <v>79</v>
      </c>
      <c r="M54" s="39">
        <v>80</v>
      </c>
      <c r="N54" s="79">
        <f>SUM(Table2[[#This Row],[English]:[SST]])</f>
        <v>436</v>
      </c>
      <c r="O54" s="79">
        <f>RANK(Table2[[#This Row],[Marks Out of 600]],$N$3:$N$138,0)</f>
        <v>45</v>
      </c>
    </row>
    <row r="55" spans="1:15" x14ac:dyDescent="0.25">
      <c r="A55" s="37" t="s">
        <v>427</v>
      </c>
      <c r="B55" s="27" t="s">
        <v>67</v>
      </c>
      <c r="C55" s="28" t="s">
        <v>194</v>
      </c>
      <c r="D55" s="28" t="s">
        <v>305</v>
      </c>
      <c r="E55" s="28" t="s">
        <v>145</v>
      </c>
      <c r="F55" s="29">
        <v>40727</v>
      </c>
      <c r="G55" s="30" t="s">
        <v>372</v>
      </c>
      <c r="H55" s="27">
        <v>85</v>
      </c>
      <c r="I55" s="28">
        <v>83</v>
      </c>
      <c r="J55" s="28">
        <v>71</v>
      </c>
      <c r="K55" s="28">
        <v>87</v>
      </c>
      <c r="L55" s="28">
        <v>88</v>
      </c>
      <c r="M55" s="39">
        <v>82</v>
      </c>
      <c r="N55" s="79">
        <f>SUM(Table2[[#This Row],[English]:[SST]])</f>
        <v>496</v>
      </c>
      <c r="O55" s="79">
        <f>RANK(Table2[[#This Row],[Marks Out of 600]],$N$3:$N$138,0)</f>
        <v>7</v>
      </c>
    </row>
    <row r="56" spans="1:15" x14ac:dyDescent="0.25">
      <c r="A56" s="37" t="s">
        <v>428</v>
      </c>
      <c r="B56" s="27" t="s">
        <v>68</v>
      </c>
      <c r="C56" s="28" t="s">
        <v>195</v>
      </c>
      <c r="D56" s="28" t="s">
        <v>306</v>
      </c>
      <c r="E56" s="28" t="s">
        <v>146</v>
      </c>
      <c r="F56" s="29">
        <v>40957</v>
      </c>
      <c r="G56" s="30" t="s">
        <v>372</v>
      </c>
      <c r="H56" s="27">
        <v>84</v>
      </c>
      <c r="I56" s="28">
        <v>82</v>
      </c>
      <c r="J56" s="28">
        <v>83</v>
      </c>
      <c r="K56" s="28">
        <v>89</v>
      </c>
      <c r="L56" s="28">
        <v>87</v>
      </c>
      <c r="M56" s="39">
        <v>84</v>
      </c>
      <c r="N56" s="79">
        <f>SUM(Table2[[#This Row],[English]:[SST]])</f>
        <v>509</v>
      </c>
      <c r="O56" s="79">
        <f>RANK(Table2[[#This Row],[Marks Out of 600]],$N$3:$N$138,0)</f>
        <v>1</v>
      </c>
    </row>
    <row r="57" spans="1:15" x14ac:dyDescent="0.25">
      <c r="A57" s="37" t="s">
        <v>429</v>
      </c>
      <c r="B57" s="27" t="s">
        <v>69</v>
      </c>
      <c r="C57" s="28" t="s">
        <v>196</v>
      </c>
      <c r="D57" s="28" t="s">
        <v>307</v>
      </c>
      <c r="E57" s="28" t="s">
        <v>146</v>
      </c>
      <c r="F57" s="29">
        <v>40853</v>
      </c>
      <c r="G57" s="30" t="s">
        <v>372</v>
      </c>
      <c r="H57" s="27">
        <v>80</v>
      </c>
      <c r="I57" s="28">
        <v>61</v>
      </c>
      <c r="J57" s="28">
        <v>77</v>
      </c>
      <c r="K57" s="28">
        <v>59</v>
      </c>
      <c r="L57" s="28">
        <v>53</v>
      </c>
      <c r="M57" s="39">
        <v>64</v>
      </c>
      <c r="N57" s="79">
        <f>SUM(Table2[[#This Row],[English]:[SST]])</f>
        <v>394</v>
      </c>
      <c r="O57" s="79">
        <f>RANK(Table2[[#This Row],[Marks Out of 600]],$N$3:$N$138,0)</f>
        <v>76</v>
      </c>
    </row>
    <row r="58" spans="1:15" x14ac:dyDescent="0.25">
      <c r="A58" s="37" t="s">
        <v>430</v>
      </c>
      <c r="B58" s="27" t="s">
        <v>70</v>
      </c>
      <c r="C58" s="28" t="s">
        <v>197</v>
      </c>
      <c r="D58" s="28" t="s">
        <v>308</v>
      </c>
      <c r="E58" s="28" t="s">
        <v>146</v>
      </c>
      <c r="F58" s="29">
        <v>40722</v>
      </c>
      <c r="G58" s="30" t="s">
        <v>372</v>
      </c>
      <c r="H58" s="27">
        <v>75</v>
      </c>
      <c r="I58" s="28">
        <v>68</v>
      </c>
      <c r="J58" s="28">
        <v>51</v>
      </c>
      <c r="K58" s="28">
        <v>70</v>
      </c>
      <c r="L58" s="28">
        <v>76</v>
      </c>
      <c r="M58" s="39">
        <v>68</v>
      </c>
      <c r="N58" s="79">
        <f>SUM(Table2[[#This Row],[English]:[SST]])</f>
        <v>408</v>
      </c>
      <c r="O58" s="79">
        <f>RANK(Table2[[#This Row],[Marks Out of 600]],$N$3:$N$138,0)</f>
        <v>66</v>
      </c>
    </row>
    <row r="59" spans="1:15" x14ac:dyDescent="0.25">
      <c r="A59" s="37" t="s">
        <v>431</v>
      </c>
      <c r="B59" s="27" t="s">
        <v>71</v>
      </c>
      <c r="C59" s="28" t="s">
        <v>198</v>
      </c>
      <c r="D59" s="28" t="s">
        <v>309</v>
      </c>
      <c r="E59" s="28" t="s">
        <v>145</v>
      </c>
      <c r="F59" s="29">
        <v>40665</v>
      </c>
      <c r="G59" s="30" t="s">
        <v>372</v>
      </c>
      <c r="H59" s="27">
        <v>79</v>
      </c>
      <c r="I59" s="28">
        <v>74</v>
      </c>
      <c r="J59" s="28">
        <v>60</v>
      </c>
      <c r="K59" s="28">
        <v>74</v>
      </c>
      <c r="L59" s="28">
        <v>65</v>
      </c>
      <c r="M59" s="39">
        <v>66</v>
      </c>
      <c r="N59" s="79">
        <f>SUM(Table2[[#This Row],[English]:[SST]])</f>
        <v>418</v>
      </c>
      <c r="O59" s="79">
        <f>RANK(Table2[[#This Row],[Marks Out of 600]],$N$3:$N$138,0)</f>
        <v>58</v>
      </c>
    </row>
    <row r="60" spans="1:15" x14ac:dyDescent="0.25">
      <c r="A60" s="37" t="s">
        <v>432</v>
      </c>
      <c r="B60" s="27" t="s">
        <v>72</v>
      </c>
      <c r="C60" s="28" t="s">
        <v>199</v>
      </c>
      <c r="D60" s="28" t="s">
        <v>310</v>
      </c>
      <c r="E60" s="28" t="s">
        <v>146</v>
      </c>
      <c r="F60" s="29">
        <v>40849</v>
      </c>
      <c r="G60" s="30" t="s">
        <v>372</v>
      </c>
      <c r="H60" s="27">
        <v>76</v>
      </c>
      <c r="I60" s="28">
        <v>45</v>
      </c>
      <c r="J60" s="28">
        <v>59</v>
      </c>
      <c r="K60" s="28">
        <v>75</v>
      </c>
      <c r="L60" s="28">
        <v>54</v>
      </c>
      <c r="M60" s="39">
        <v>59</v>
      </c>
      <c r="N60" s="79">
        <f>SUM(Table2[[#This Row],[English]:[SST]])</f>
        <v>368</v>
      </c>
      <c r="O60" s="79">
        <f>RANK(Table2[[#This Row],[Marks Out of 600]],$N$3:$N$138,0)</f>
        <v>99</v>
      </c>
    </row>
    <row r="61" spans="1:15" x14ac:dyDescent="0.25">
      <c r="A61" s="37" t="s">
        <v>433</v>
      </c>
      <c r="B61" s="27" t="s">
        <v>73</v>
      </c>
      <c r="C61" s="28" t="s">
        <v>200</v>
      </c>
      <c r="D61" s="28" t="s">
        <v>311</v>
      </c>
      <c r="E61" s="28" t="s">
        <v>145</v>
      </c>
      <c r="F61" s="29">
        <v>40749</v>
      </c>
      <c r="G61" s="30" t="s">
        <v>372</v>
      </c>
      <c r="H61" s="27">
        <v>67</v>
      </c>
      <c r="I61" s="28">
        <v>56</v>
      </c>
      <c r="J61" s="28">
        <v>57</v>
      </c>
      <c r="K61" s="28">
        <v>35</v>
      </c>
      <c r="L61" s="28">
        <v>47</v>
      </c>
      <c r="M61" s="39">
        <v>98</v>
      </c>
      <c r="N61" s="79">
        <f>SUM(Table2[[#This Row],[English]:[SST]])</f>
        <v>360</v>
      </c>
      <c r="O61" s="79">
        <f>RANK(Table2[[#This Row],[Marks Out of 600]],$N$3:$N$138,0)</f>
        <v>106</v>
      </c>
    </row>
    <row r="62" spans="1:15" x14ac:dyDescent="0.25">
      <c r="A62" s="37" t="s">
        <v>434</v>
      </c>
      <c r="B62" s="27" t="s">
        <v>74</v>
      </c>
      <c r="C62" s="28" t="s">
        <v>201</v>
      </c>
      <c r="D62" s="28" t="s">
        <v>312</v>
      </c>
      <c r="E62" s="28" t="s">
        <v>146</v>
      </c>
      <c r="F62" s="29">
        <v>40569</v>
      </c>
      <c r="G62" s="30" t="s">
        <v>372</v>
      </c>
      <c r="H62" s="31">
        <v>96</v>
      </c>
      <c r="I62" s="32">
        <v>75</v>
      </c>
      <c r="J62" s="32">
        <v>88</v>
      </c>
      <c r="K62" s="32">
        <v>50</v>
      </c>
      <c r="L62" s="32">
        <v>89</v>
      </c>
      <c r="M62" s="40">
        <v>98</v>
      </c>
      <c r="N62" s="79">
        <f>SUM(Table2[[#This Row],[English]:[SST]])</f>
        <v>496</v>
      </c>
      <c r="O62" s="79">
        <f>RANK(Table2[[#This Row],[Marks Out of 600]],$N$3:$N$138,0)</f>
        <v>7</v>
      </c>
    </row>
    <row r="63" spans="1:15" x14ac:dyDescent="0.25">
      <c r="A63" s="37" t="s">
        <v>435</v>
      </c>
      <c r="B63" s="27" t="s">
        <v>75</v>
      </c>
      <c r="C63" s="28" t="s">
        <v>202</v>
      </c>
      <c r="D63" s="28" t="s">
        <v>313</v>
      </c>
      <c r="E63" s="28" t="s">
        <v>146</v>
      </c>
      <c r="F63" s="29">
        <v>40648</v>
      </c>
      <c r="G63" s="30" t="s">
        <v>372</v>
      </c>
      <c r="H63" s="31">
        <v>82</v>
      </c>
      <c r="I63" s="32">
        <v>50</v>
      </c>
      <c r="J63" s="32">
        <v>45</v>
      </c>
      <c r="K63" s="32">
        <v>57</v>
      </c>
      <c r="L63" s="32">
        <v>98</v>
      </c>
      <c r="M63" s="40">
        <v>59</v>
      </c>
      <c r="N63" s="79">
        <f>SUM(Table2[[#This Row],[English]:[SST]])</f>
        <v>391</v>
      </c>
      <c r="O63" s="79">
        <f>RANK(Table2[[#This Row],[Marks Out of 600]],$N$3:$N$138,0)</f>
        <v>79</v>
      </c>
    </row>
    <row r="64" spans="1:15" x14ac:dyDescent="0.25">
      <c r="A64" s="37" t="s">
        <v>436</v>
      </c>
      <c r="B64" s="27" t="s">
        <v>76</v>
      </c>
      <c r="C64" s="28" t="s">
        <v>203</v>
      </c>
      <c r="D64" s="28" t="s">
        <v>314</v>
      </c>
      <c r="E64" s="28" t="s">
        <v>145</v>
      </c>
      <c r="F64" s="29">
        <v>40716</v>
      </c>
      <c r="G64" s="30" t="s">
        <v>372</v>
      </c>
      <c r="H64" s="31">
        <v>80</v>
      </c>
      <c r="I64" s="32">
        <v>52</v>
      </c>
      <c r="J64" s="32">
        <v>93</v>
      </c>
      <c r="K64" s="32">
        <v>44</v>
      </c>
      <c r="L64" s="32">
        <v>67</v>
      </c>
      <c r="M64" s="40">
        <v>98</v>
      </c>
      <c r="N64" s="79">
        <f>SUM(Table2[[#This Row],[English]:[SST]])</f>
        <v>434</v>
      </c>
      <c r="O64" s="79">
        <f>RANK(Table2[[#This Row],[Marks Out of 600]],$N$3:$N$138,0)</f>
        <v>46</v>
      </c>
    </row>
    <row r="65" spans="1:15" x14ac:dyDescent="0.25">
      <c r="A65" s="37" t="s">
        <v>437</v>
      </c>
      <c r="B65" s="27" t="s">
        <v>77</v>
      </c>
      <c r="C65" s="28" t="s">
        <v>204</v>
      </c>
      <c r="D65" s="28" t="s">
        <v>315</v>
      </c>
      <c r="E65" s="28" t="s">
        <v>145</v>
      </c>
      <c r="F65" s="29">
        <v>40997</v>
      </c>
      <c r="G65" s="30" t="s">
        <v>372</v>
      </c>
      <c r="H65" s="31">
        <v>92</v>
      </c>
      <c r="I65" s="32">
        <v>84</v>
      </c>
      <c r="J65" s="32">
        <v>56</v>
      </c>
      <c r="K65" s="32">
        <v>75</v>
      </c>
      <c r="L65" s="32">
        <v>54</v>
      </c>
      <c r="M65" s="40">
        <v>79</v>
      </c>
      <c r="N65" s="79">
        <f>SUM(Table2[[#This Row],[English]:[SST]])</f>
        <v>440</v>
      </c>
      <c r="O65" s="79">
        <f>RANK(Table2[[#This Row],[Marks Out of 600]],$N$3:$N$138,0)</f>
        <v>41</v>
      </c>
    </row>
    <row r="66" spans="1:15" x14ac:dyDescent="0.25">
      <c r="A66" s="37" t="s">
        <v>438</v>
      </c>
      <c r="B66" s="27" t="s">
        <v>78</v>
      </c>
      <c r="C66" s="28" t="s">
        <v>205</v>
      </c>
      <c r="D66" s="28" t="s">
        <v>316</v>
      </c>
      <c r="E66" s="28" t="s">
        <v>146</v>
      </c>
      <c r="F66" s="29">
        <v>40757</v>
      </c>
      <c r="G66" s="30" t="s">
        <v>372</v>
      </c>
      <c r="H66" s="31">
        <v>69</v>
      </c>
      <c r="I66" s="32">
        <v>82</v>
      </c>
      <c r="J66" s="32">
        <v>42</v>
      </c>
      <c r="K66" s="32">
        <v>76</v>
      </c>
      <c r="L66" s="32">
        <v>96</v>
      </c>
      <c r="M66" s="40">
        <v>76</v>
      </c>
      <c r="N66" s="79">
        <f>SUM(Table2[[#This Row],[English]:[SST]])</f>
        <v>441</v>
      </c>
      <c r="O66" s="79">
        <f>RANK(Table2[[#This Row],[Marks Out of 600]],$N$3:$N$138,0)</f>
        <v>39</v>
      </c>
    </row>
    <row r="67" spans="1:15" x14ac:dyDescent="0.25">
      <c r="A67" s="37" t="s">
        <v>439</v>
      </c>
      <c r="B67" s="27" t="s">
        <v>79</v>
      </c>
      <c r="C67" s="28" t="s">
        <v>206</v>
      </c>
      <c r="D67" s="28" t="s">
        <v>317</v>
      </c>
      <c r="E67" s="28" t="s">
        <v>146</v>
      </c>
      <c r="F67" s="29">
        <v>41008</v>
      </c>
      <c r="G67" s="30" t="s">
        <v>372</v>
      </c>
      <c r="H67" s="31">
        <v>53</v>
      </c>
      <c r="I67" s="32">
        <v>52</v>
      </c>
      <c r="J67" s="32">
        <v>43</v>
      </c>
      <c r="K67" s="32">
        <v>92</v>
      </c>
      <c r="L67" s="32">
        <v>58</v>
      </c>
      <c r="M67" s="40">
        <v>65</v>
      </c>
      <c r="N67" s="79">
        <f>SUM(Table2[[#This Row],[English]:[SST]])</f>
        <v>363</v>
      </c>
      <c r="O67" s="79">
        <f>RANK(Table2[[#This Row],[Marks Out of 600]],$N$3:$N$138,0)</f>
        <v>103</v>
      </c>
    </row>
    <row r="68" spans="1:15" x14ac:dyDescent="0.25">
      <c r="A68" s="37" t="s">
        <v>440</v>
      </c>
      <c r="B68" s="27" t="s">
        <v>80</v>
      </c>
      <c r="C68" s="28" t="s">
        <v>207</v>
      </c>
      <c r="D68" s="28" t="s">
        <v>318</v>
      </c>
      <c r="E68" s="28" t="s">
        <v>145</v>
      </c>
      <c r="F68" s="29">
        <v>40984</v>
      </c>
      <c r="G68" s="30" t="s">
        <v>372</v>
      </c>
      <c r="H68" s="31">
        <v>50</v>
      </c>
      <c r="I68" s="32">
        <v>74</v>
      </c>
      <c r="J68" s="32">
        <v>61</v>
      </c>
      <c r="K68" s="32">
        <v>47</v>
      </c>
      <c r="L68" s="32">
        <v>44</v>
      </c>
      <c r="M68" s="40">
        <v>92</v>
      </c>
      <c r="N68" s="79">
        <f>SUM(Table2[[#This Row],[English]:[SST]])</f>
        <v>368</v>
      </c>
      <c r="O68" s="79">
        <f>RANK(Table2[[#This Row],[Marks Out of 600]],$N$3:$N$138,0)</f>
        <v>99</v>
      </c>
    </row>
    <row r="69" spans="1:15" x14ac:dyDescent="0.25">
      <c r="A69" s="37" t="s">
        <v>441</v>
      </c>
      <c r="B69" s="27" t="s">
        <v>81</v>
      </c>
      <c r="C69" s="28" t="s">
        <v>208</v>
      </c>
      <c r="D69" s="28" t="s">
        <v>319</v>
      </c>
      <c r="E69" s="28" t="s">
        <v>145</v>
      </c>
      <c r="F69" s="29">
        <v>40753</v>
      </c>
      <c r="G69" s="30" t="s">
        <v>372</v>
      </c>
      <c r="H69" s="31">
        <v>38</v>
      </c>
      <c r="I69" s="32">
        <v>64</v>
      </c>
      <c r="J69" s="32">
        <v>50</v>
      </c>
      <c r="K69" s="32">
        <v>45</v>
      </c>
      <c r="L69" s="32">
        <v>47</v>
      </c>
      <c r="M69" s="40">
        <v>93</v>
      </c>
      <c r="N69" s="79">
        <f>SUM(Table2[[#This Row],[English]:[SST]])</f>
        <v>337</v>
      </c>
      <c r="O69" s="79">
        <f>RANK(Table2[[#This Row],[Marks Out of 600]],$N$3:$N$138,0)</f>
        <v>118</v>
      </c>
    </row>
    <row r="70" spans="1:15" x14ac:dyDescent="0.25">
      <c r="A70" s="37" t="s">
        <v>442</v>
      </c>
      <c r="B70" s="27" t="s">
        <v>82</v>
      </c>
      <c r="C70" s="28" t="s">
        <v>209</v>
      </c>
      <c r="D70" s="28" t="s">
        <v>320</v>
      </c>
      <c r="E70" s="28" t="s">
        <v>146</v>
      </c>
      <c r="F70" s="29">
        <v>40986</v>
      </c>
      <c r="G70" s="30" t="s">
        <v>372</v>
      </c>
      <c r="H70" s="31">
        <v>82</v>
      </c>
      <c r="I70" s="32">
        <v>67</v>
      </c>
      <c r="J70" s="32">
        <v>76</v>
      </c>
      <c r="K70" s="32">
        <v>92</v>
      </c>
      <c r="L70" s="32">
        <v>67</v>
      </c>
      <c r="M70" s="40">
        <v>57</v>
      </c>
      <c r="N70" s="79">
        <f>SUM(Table2[[#This Row],[English]:[SST]])</f>
        <v>441</v>
      </c>
      <c r="O70" s="79">
        <f>RANK(Table2[[#This Row],[Marks Out of 600]],$N$3:$N$138,0)</f>
        <v>39</v>
      </c>
    </row>
    <row r="71" spans="1:15" x14ac:dyDescent="0.25">
      <c r="A71" s="37" t="s">
        <v>443</v>
      </c>
      <c r="B71" s="27" t="s">
        <v>83</v>
      </c>
      <c r="C71" s="28" t="s">
        <v>170</v>
      </c>
      <c r="D71" s="28" t="s">
        <v>321</v>
      </c>
      <c r="E71" s="28" t="s">
        <v>146</v>
      </c>
      <c r="F71" s="29">
        <v>40962</v>
      </c>
      <c r="G71" s="30" t="s">
        <v>372</v>
      </c>
      <c r="H71" s="31">
        <v>87</v>
      </c>
      <c r="I71" s="32">
        <v>44</v>
      </c>
      <c r="J71" s="32">
        <v>97</v>
      </c>
      <c r="K71" s="32">
        <v>50</v>
      </c>
      <c r="L71" s="32">
        <v>81</v>
      </c>
      <c r="M71" s="40">
        <v>79</v>
      </c>
      <c r="N71" s="79">
        <f>SUM(Table2[[#This Row],[English]:[SST]])</f>
        <v>438</v>
      </c>
      <c r="O71" s="79">
        <f>RANK(Table2[[#This Row],[Marks Out of 600]],$N$3:$N$138,0)</f>
        <v>42</v>
      </c>
    </row>
    <row r="72" spans="1:15" x14ac:dyDescent="0.25">
      <c r="A72" s="37" t="s">
        <v>444</v>
      </c>
      <c r="B72" s="27" t="s">
        <v>84</v>
      </c>
      <c r="C72" s="28" t="s">
        <v>158</v>
      </c>
      <c r="D72" s="28" t="s">
        <v>322</v>
      </c>
      <c r="E72" s="28" t="s">
        <v>145</v>
      </c>
      <c r="F72" s="29">
        <v>40546</v>
      </c>
      <c r="G72" s="30" t="s">
        <v>372</v>
      </c>
      <c r="H72" s="31">
        <v>45</v>
      </c>
      <c r="I72" s="32">
        <v>48</v>
      </c>
      <c r="J72" s="32">
        <v>72</v>
      </c>
      <c r="K72" s="32">
        <v>49</v>
      </c>
      <c r="L72" s="32">
        <v>64</v>
      </c>
      <c r="M72" s="40">
        <v>67</v>
      </c>
      <c r="N72" s="79">
        <f>SUM(Table2[[#This Row],[English]:[SST]])</f>
        <v>345</v>
      </c>
      <c r="O72" s="79">
        <f>RANK(Table2[[#This Row],[Marks Out of 600]],$N$3:$N$138,0)</f>
        <v>115</v>
      </c>
    </row>
    <row r="73" spans="1:15" x14ac:dyDescent="0.25">
      <c r="A73" s="37" t="s">
        <v>445</v>
      </c>
      <c r="B73" s="27" t="s">
        <v>85</v>
      </c>
      <c r="C73" s="28" t="s">
        <v>210</v>
      </c>
      <c r="D73" s="28" t="s">
        <v>323</v>
      </c>
      <c r="E73" s="28" t="s">
        <v>146</v>
      </c>
      <c r="F73" s="29">
        <v>40577</v>
      </c>
      <c r="G73" s="30" t="s">
        <v>372</v>
      </c>
      <c r="H73" s="31">
        <v>78</v>
      </c>
      <c r="I73" s="32">
        <v>76</v>
      </c>
      <c r="J73" s="32">
        <v>64</v>
      </c>
      <c r="K73" s="32">
        <v>62</v>
      </c>
      <c r="L73" s="32">
        <v>83</v>
      </c>
      <c r="M73" s="40">
        <v>59</v>
      </c>
      <c r="N73" s="79">
        <f>SUM(Table2[[#This Row],[English]:[SST]])</f>
        <v>422</v>
      </c>
      <c r="O73" s="79">
        <f>RANK(Table2[[#This Row],[Marks Out of 600]],$N$3:$N$138,0)</f>
        <v>53</v>
      </c>
    </row>
    <row r="74" spans="1:15" x14ac:dyDescent="0.25">
      <c r="A74" s="37" t="s">
        <v>446</v>
      </c>
      <c r="B74" s="27" t="s">
        <v>86</v>
      </c>
      <c r="C74" s="28" t="s">
        <v>211</v>
      </c>
      <c r="D74" s="28" t="s">
        <v>324</v>
      </c>
      <c r="E74" s="28" t="s">
        <v>145</v>
      </c>
      <c r="F74" s="29">
        <v>40852</v>
      </c>
      <c r="G74" s="30" t="s">
        <v>372</v>
      </c>
      <c r="H74" s="31">
        <v>45</v>
      </c>
      <c r="I74" s="32">
        <v>67</v>
      </c>
      <c r="J74" s="32">
        <v>58</v>
      </c>
      <c r="K74" s="32">
        <v>40</v>
      </c>
      <c r="L74" s="32">
        <v>59</v>
      </c>
      <c r="M74" s="40">
        <v>54</v>
      </c>
      <c r="N74" s="79">
        <f>SUM(Table2[[#This Row],[English]:[SST]])</f>
        <v>323</v>
      </c>
      <c r="O74" s="79">
        <f>RANK(Table2[[#This Row],[Marks Out of 600]],$N$3:$N$138,0)</f>
        <v>126</v>
      </c>
    </row>
    <row r="75" spans="1:15" x14ac:dyDescent="0.25">
      <c r="A75" s="37" t="s">
        <v>447</v>
      </c>
      <c r="B75" s="27" t="s">
        <v>87</v>
      </c>
      <c r="C75" s="28" t="s">
        <v>212</v>
      </c>
      <c r="D75" s="28" t="s">
        <v>319</v>
      </c>
      <c r="E75" s="28" t="s">
        <v>145</v>
      </c>
      <c r="F75" s="29">
        <v>40966</v>
      </c>
      <c r="G75" s="30" t="s">
        <v>372</v>
      </c>
      <c r="H75" s="31">
        <v>81</v>
      </c>
      <c r="I75" s="32">
        <v>92</v>
      </c>
      <c r="J75" s="32">
        <v>60</v>
      </c>
      <c r="K75" s="32">
        <v>82</v>
      </c>
      <c r="L75" s="32">
        <v>90</v>
      </c>
      <c r="M75" s="40">
        <v>85</v>
      </c>
      <c r="N75" s="79">
        <f>SUM(Table2[[#This Row],[English]:[SST]])</f>
        <v>490</v>
      </c>
      <c r="O75" s="79">
        <f>RANK(Table2[[#This Row],[Marks Out of 600]],$N$3:$N$138,0)</f>
        <v>12</v>
      </c>
    </row>
    <row r="76" spans="1:15" x14ac:dyDescent="0.25">
      <c r="A76" s="37" t="s">
        <v>448</v>
      </c>
      <c r="B76" s="27" t="s">
        <v>88</v>
      </c>
      <c r="C76" s="28" t="s">
        <v>213</v>
      </c>
      <c r="D76" s="28" t="s">
        <v>325</v>
      </c>
      <c r="E76" s="28" t="s">
        <v>145</v>
      </c>
      <c r="F76" s="29">
        <v>40683</v>
      </c>
      <c r="G76" s="30" t="s">
        <v>372</v>
      </c>
      <c r="H76" s="31">
        <v>81</v>
      </c>
      <c r="I76" s="32">
        <v>51</v>
      </c>
      <c r="J76" s="32">
        <v>95</v>
      </c>
      <c r="K76" s="32">
        <v>70</v>
      </c>
      <c r="L76" s="32">
        <v>39</v>
      </c>
      <c r="M76" s="40">
        <v>98</v>
      </c>
      <c r="N76" s="79">
        <f>SUM(Table2[[#This Row],[English]:[SST]])</f>
        <v>434</v>
      </c>
      <c r="O76" s="79">
        <f>RANK(Table2[[#This Row],[Marks Out of 600]],$N$3:$N$138,0)</f>
        <v>46</v>
      </c>
    </row>
    <row r="77" spans="1:15" x14ac:dyDescent="0.25">
      <c r="A77" s="37" t="s">
        <v>449</v>
      </c>
      <c r="B77" s="27" t="s">
        <v>89</v>
      </c>
      <c r="C77" s="28" t="s">
        <v>214</v>
      </c>
      <c r="D77" s="28" t="s">
        <v>326</v>
      </c>
      <c r="E77" s="28" t="s">
        <v>146</v>
      </c>
      <c r="F77" s="29">
        <v>40752</v>
      </c>
      <c r="G77" s="30" t="s">
        <v>372</v>
      </c>
      <c r="H77" s="31">
        <v>96</v>
      </c>
      <c r="I77" s="32">
        <v>64</v>
      </c>
      <c r="J77" s="32">
        <v>75</v>
      </c>
      <c r="K77" s="32">
        <v>39</v>
      </c>
      <c r="L77" s="32">
        <v>85</v>
      </c>
      <c r="M77" s="40">
        <v>88</v>
      </c>
      <c r="N77" s="79">
        <f>SUM(Table2[[#This Row],[English]:[SST]])</f>
        <v>447</v>
      </c>
      <c r="O77" s="79">
        <f>RANK(Table2[[#This Row],[Marks Out of 600]],$N$3:$N$138,0)</f>
        <v>34</v>
      </c>
    </row>
    <row r="78" spans="1:15" x14ac:dyDescent="0.25">
      <c r="A78" s="37" t="s">
        <v>450</v>
      </c>
      <c r="B78" s="27" t="s">
        <v>90</v>
      </c>
      <c r="C78" s="28" t="s">
        <v>215</v>
      </c>
      <c r="D78" s="28" t="s">
        <v>327</v>
      </c>
      <c r="E78" s="28" t="s">
        <v>145</v>
      </c>
      <c r="F78" s="29">
        <v>40567</v>
      </c>
      <c r="G78" s="30" t="s">
        <v>372</v>
      </c>
      <c r="H78" s="31">
        <v>91</v>
      </c>
      <c r="I78" s="32">
        <v>38</v>
      </c>
      <c r="J78" s="32">
        <v>83</v>
      </c>
      <c r="K78" s="32">
        <v>78</v>
      </c>
      <c r="L78" s="32">
        <v>85</v>
      </c>
      <c r="M78" s="40">
        <v>46</v>
      </c>
      <c r="N78" s="79">
        <f>SUM(Table2[[#This Row],[English]:[SST]])</f>
        <v>421</v>
      </c>
      <c r="O78" s="79">
        <f>RANK(Table2[[#This Row],[Marks Out of 600]],$N$3:$N$138,0)</f>
        <v>55</v>
      </c>
    </row>
    <row r="79" spans="1:15" x14ac:dyDescent="0.25">
      <c r="A79" s="37" t="s">
        <v>451</v>
      </c>
      <c r="B79" s="27" t="s">
        <v>91</v>
      </c>
      <c r="C79" s="28" t="s">
        <v>216</v>
      </c>
      <c r="D79" s="28" t="s">
        <v>328</v>
      </c>
      <c r="E79" s="28" t="s">
        <v>146</v>
      </c>
      <c r="F79" s="29">
        <v>40996</v>
      </c>
      <c r="G79" s="30" t="s">
        <v>372</v>
      </c>
      <c r="H79" s="31">
        <v>78</v>
      </c>
      <c r="I79" s="32">
        <v>38</v>
      </c>
      <c r="J79" s="32">
        <v>90</v>
      </c>
      <c r="K79" s="32">
        <v>35</v>
      </c>
      <c r="L79" s="32">
        <v>48</v>
      </c>
      <c r="M79" s="40">
        <v>72</v>
      </c>
      <c r="N79" s="79">
        <f>SUM(Table2[[#This Row],[English]:[SST]])</f>
        <v>361</v>
      </c>
      <c r="O79" s="79">
        <f>RANK(Table2[[#This Row],[Marks Out of 600]],$N$3:$N$138,0)</f>
        <v>104</v>
      </c>
    </row>
    <row r="80" spans="1:15" x14ac:dyDescent="0.25">
      <c r="A80" s="37" t="s">
        <v>452</v>
      </c>
      <c r="B80" s="27" t="s">
        <v>92</v>
      </c>
      <c r="C80" s="28" t="s">
        <v>217</v>
      </c>
      <c r="D80" s="28" t="s">
        <v>274</v>
      </c>
      <c r="E80" s="28" t="s">
        <v>145</v>
      </c>
      <c r="F80" s="29">
        <v>40548</v>
      </c>
      <c r="G80" s="30" t="s">
        <v>372</v>
      </c>
      <c r="H80" s="31">
        <v>53</v>
      </c>
      <c r="I80" s="32">
        <v>80</v>
      </c>
      <c r="J80" s="32">
        <v>76</v>
      </c>
      <c r="K80" s="32">
        <v>55</v>
      </c>
      <c r="L80" s="32">
        <v>86</v>
      </c>
      <c r="M80" s="40">
        <v>79</v>
      </c>
      <c r="N80" s="79">
        <f>SUM(Table2[[#This Row],[English]:[SST]])</f>
        <v>429</v>
      </c>
      <c r="O80" s="79">
        <f>RANK(Table2[[#This Row],[Marks Out of 600]],$N$3:$N$138,0)</f>
        <v>50</v>
      </c>
    </row>
    <row r="81" spans="1:15" x14ac:dyDescent="0.25">
      <c r="A81" s="37" t="s">
        <v>453</v>
      </c>
      <c r="B81" s="27" t="s">
        <v>93</v>
      </c>
      <c r="C81" s="28" t="s">
        <v>218</v>
      </c>
      <c r="D81" s="28" t="s">
        <v>329</v>
      </c>
      <c r="E81" s="28" t="s">
        <v>145</v>
      </c>
      <c r="F81" s="29">
        <v>41027</v>
      </c>
      <c r="G81" s="30" t="s">
        <v>372</v>
      </c>
      <c r="H81" s="31">
        <v>98</v>
      </c>
      <c r="I81" s="32">
        <v>45</v>
      </c>
      <c r="J81" s="32">
        <v>47</v>
      </c>
      <c r="K81" s="32">
        <v>82</v>
      </c>
      <c r="L81" s="32">
        <v>76</v>
      </c>
      <c r="M81" s="40">
        <v>96</v>
      </c>
      <c r="N81" s="79">
        <f>SUM(Table2[[#This Row],[English]:[SST]])</f>
        <v>444</v>
      </c>
      <c r="O81" s="79">
        <f>RANK(Table2[[#This Row],[Marks Out of 600]],$N$3:$N$138,0)</f>
        <v>36</v>
      </c>
    </row>
    <row r="82" spans="1:15" x14ac:dyDescent="0.25">
      <c r="A82" s="37" t="s">
        <v>454</v>
      </c>
      <c r="B82" s="27" t="s">
        <v>94</v>
      </c>
      <c r="C82" s="28" t="s">
        <v>219</v>
      </c>
      <c r="D82" s="28" t="s">
        <v>330</v>
      </c>
      <c r="E82" s="28" t="s">
        <v>146</v>
      </c>
      <c r="F82" s="29">
        <v>40637</v>
      </c>
      <c r="G82" s="30" t="s">
        <v>372</v>
      </c>
      <c r="H82" s="31">
        <v>83</v>
      </c>
      <c r="I82" s="32">
        <v>86</v>
      </c>
      <c r="J82" s="32">
        <v>92</v>
      </c>
      <c r="K82" s="32">
        <v>83</v>
      </c>
      <c r="L82" s="32">
        <v>71</v>
      </c>
      <c r="M82" s="40">
        <v>76</v>
      </c>
      <c r="N82" s="79">
        <f>SUM(Table2[[#This Row],[English]:[SST]])</f>
        <v>491</v>
      </c>
      <c r="O82" s="79">
        <f>RANK(Table2[[#This Row],[Marks Out of 600]],$N$3:$N$138,0)</f>
        <v>11</v>
      </c>
    </row>
    <row r="83" spans="1:15" x14ac:dyDescent="0.25">
      <c r="A83" s="37" t="s">
        <v>455</v>
      </c>
      <c r="B83" s="27" t="s">
        <v>95</v>
      </c>
      <c r="C83" s="28" t="s">
        <v>220</v>
      </c>
      <c r="D83" s="28" t="s">
        <v>331</v>
      </c>
      <c r="E83" s="28" t="s">
        <v>145</v>
      </c>
      <c r="F83" s="29">
        <v>40919</v>
      </c>
      <c r="G83" s="30" t="s">
        <v>372</v>
      </c>
      <c r="H83" s="31">
        <v>63</v>
      </c>
      <c r="I83" s="32">
        <v>46</v>
      </c>
      <c r="J83" s="32">
        <v>86</v>
      </c>
      <c r="K83" s="32">
        <v>60</v>
      </c>
      <c r="L83" s="32">
        <v>64</v>
      </c>
      <c r="M83" s="40">
        <v>50</v>
      </c>
      <c r="N83" s="79">
        <f>SUM(Table2[[#This Row],[English]:[SST]])</f>
        <v>369</v>
      </c>
      <c r="O83" s="79">
        <f>RANK(Table2[[#This Row],[Marks Out of 600]],$N$3:$N$138,0)</f>
        <v>98</v>
      </c>
    </row>
    <row r="84" spans="1:15" x14ac:dyDescent="0.25">
      <c r="A84" s="37" t="s">
        <v>456</v>
      </c>
      <c r="B84" s="27" t="s">
        <v>96</v>
      </c>
      <c r="C84" s="28" t="s">
        <v>221</v>
      </c>
      <c r="D84" s="28" t="s">
        <v>332</v>
      </c>
      <c r="E84" s="28" t="s">
        <v>145</v>
      </c>
      <c r="F84" s="29">
        <v>41004</v>
      </c>
      <c r="G84" s="30" t="s">
        <v>372</v>
      </c>
      <c r="H84" s="31">
        <v>44</v>
      </c>
      <c r="I84" s="32">
        <v>72</v>
      </c>
      <c r="J84" s="32">
        <v>52</v>
      </c>
      <c r="K84" s="32">
        <v>51</v>
      </c>
      <c r="L84" s="32">
        <v>54</v>
      </c>
      <c r="M84" s="40">
        <v>52</v>
      </c>
      <c r="N84" s="79">
        <f>SUM(Table2[[#This Row],[English]:[SST]])</f>
        <v>325</v>
      </c>
      <c r="O84" s="79">
        <f>RANK(Table2[[#This Row],[Marks Out of 600]],$N$3:$N$138,0)</f>
        <v>124</v>
      </c>
    </row>
    <row r="85" spans="1:15" x14ac:dyDescent="0.25">
      <c r="A85" s="37" t="s">
        <v>457</v>
      </c>
      <c r="B85" s="27" t="s">
        <v>97</v>
      </c>
      <c r="C85" s="28" t="s">
        <v>222</v>
      </c>
      <c r="D85" s="28" t="s">
        <v>333</v>
      </c>
      <c r="E85" s="28" t="s">
        <v>145</v>
      </c>
      <c r="F85" s="29">
        <v>40710</v>
      </c>
      <c r="G85" s="30" t="s">
        <v>372</v>
      </c>
      <c r="H85" s="31">
        <v>91</v>
      </c>
      <c r="I85" s="32">
        <v>56</v>
      </c>
      <c r="J85" s="32">
        <v>50</v>
      </c>
      <c r="K85" s="32">
        <v>57</v>
      </c>
      <c r="L85" s="32">
        <v>66</v>
      </c>
      <c r="M85" s="40">
        <v>59</v>
      </c>
      <c r="N85" s="79">
        <f>SUM(Table2[[#This Row],[English]:[SST]])</f>
        <v>379</v>
      </c>
      <c r="O85" s="79">
        <f>RANK(Table2[[#This Row],[Marks Out of 600]],$N$3:$N$138,0)</f>
        <v>88</v>
      </c>
    </row>
    <row r="86" spans="1:15" x14ac:dyDescent="0.25">
      <c r="A86" s="37" t="s">
        <v>458</v>
      </c>
      <c r="B86" s="27" t="s">
        <v>98</v>
      </c>
      <c r="C86" s="28" t="s">
        <v>223</v>
      </c>
      <c r="D86" s="28" t="s">
        <v>334</v>
      </c>
      <c r="E86" s="28" t="s">
        <v>145</v>
      </c>
      <c r="F86" s="29">
        <v>40833</v>
      </c>
      <c r="G86" s="30" t="s">
        <v>372</v>
      </c>
      <c r="H86" s="31">
        <v>92</v>
      </c>
      <c r="I86" s="32">
        <v>71</v>
      </c>
      <c r="J86" s="32">
        <v>44</v>
      </c>
      <c r="K86" s="32">
        <v>57</v>
      </c>
      <c r="L86" s="32">
        <v>40</v>
      </c>
      <c r="M86" s="40">
        <v>66</v>
      </c>
      <c r="N86" s="79">
        <f>SUM(Table2[[#This Row],[English]:[SST]])</f>
        <v>370</v>
      </c>
      <c r="O86" s="79">
        <f>RANK(Table2[[#This Row],[Marks Out of 600]],$N$3:$N$138,0)</f>
        <v>96</v>
      </c>
    </row>
    <row r="87" spans="1:15" x14ac:dyDescent="0.25">
      <c r="A87" s="37" t="s">
        <v>459</v>
      </c>
      <c r="B87" s="27" t="s">
        <v>99</v>
      </c>
      <c r="C87" s="28" t="s">
        <v>224</v>
      </c>
      <c r="D87" s="28" t="s">
        <v>317</v>
      </c>
      <c r="E87" s="28" t="s">
        <v>145</v>
      </c>
      <c r="F87" s="29">
        <v>41016</v>
      </c>
      <c r="G87" s="30" t="s">
        <v>372</v>
      </c>
      <c r="H87" s="31">
        <v>59</v>
      </c>
      <c r="I87" s="32">
        <v>60</v>
      </c>
      <c r="J87" s="32">
        <v>41</v>
      </c>
      <c r="K87" s="32">
        <v>45</v>
      </c>
      <c r="L87" s="32">
        <v>61</v>
      </c>
      <c r="M87" s="40">
        <v>58</v>
      </c>
      <c r="N87" s="79">
        <f>SUM(Table2[[#This Row],[English]:[SST]])</f>
        <v>324</v>
      </c>
      <c r="O87" s="79">
        <f>RANK(Table2[[#This Row],[Marks Out of 600]],$N$3:$N$138,0)</f>
        <v>125</v>
      </c>
    </row>
    <row r="88" spans="1:15" x14ac:dyDescent="0.25">
      <c r="A88" s="37" t="s">
        <v>460</v>
      </c>
      <c r="B88" s="27" t="s">
        <v>100</v>
      </c>
      <c r="C88" s="28" t="s">
        <v>224</v>
      </c>
      <c r="D88" s="28" t="s">
        <v>317</v>
      </c>
      <c r="E88" s="28" t="s">
        <v>145</v>
      </c>
      <c r="F88" s="29">
        <v>40877</v>
      </c>
      <c r="G88" s="30" t="s">
        <v>372</v>
      </c>
      <c r="H88" s="31">
        <v>49</v>
      </c>
      <c r="I88" s="32">
        <v>83</v>
      </c>
      <c r="J88" s="32">
        <v>79</v>
      </c>
      <c r="K88" s="32">
        <v>85</v>
      </c>
      <c r="L88" s="32">
        <v>84</v>
      </c>
      <c r="M88" s="40">
        <v>82</v>
      </c>
      <c r="N88" s="79">
        <f>SUM(Table2[[#This Row],[English]:[SST]])</f>
        <v>462</v>
      </c>
      <c r="O88" s="79">
        <f>RANK(Table2[[#This Row],[Marks Out of 600]],$N$3:$N$138,0)</f>
        <v>23</v>
      </c>
    </row>
    <row r="89" spans="1:15" x14ac:dyDescent="0.25">
      <c r="A89" s="37" t="s">
        <v>461</v>
      </c>
      <c r="B89" s="27" t="s">
        <v>101</v>
      </c>
      <c r="C89" s="28" t="s">
        <v>208</v>
      </c>
      <c r="D89" s="28" t="s">
        <v>292</v>
      </c>
      <c r="E89" s="28" t="s">
        <v>145</v>
      </c>
      <c r="F89" s="29">
        <v>40800</v>
      </c>
      <c r="G89" s="30" t="s">
        <v>372</v>
      </c>
      <c r="H89" s="31">
        <v>55</v>
      </c>
      <c r="I89" s="32">
        <v>96</v>
      </c>
      <c r="J89" s="32">
        <v>95</v>
      </c>
      <c r="K89" s="32">
        <v>82</v>
      </c>
      <c r="L89" s="32">
        <v>87</v>
      </c>
      <c r="M89" s="40">
        <v>84</v>
      </c>
      <c r="N89" s="79">
        <f>SUM(Table2[[#This Row],[English]:[SST]])</f>
        <v>499</v>
      </c>
      <c r="O89" s="79">
        <f>RANK(Table2[[#This Row],[Marks Out of 600]],$N$3:$N$138,0)</f>
        <v>3</v>
      </c>
    </row>
    <row r="90" spans="1:15" x14ac:dyDescent="0.25">
      <c r="A90" s="37" t="s">
        <v>462</v>
      </c>
      <c r="B90" s="27" t="s">
        <v>102</v>
      </c>
      <c r="C90" s="28" t="s">
        <v>225</v>
      </c>
      <c r="D90" s="28" t="s">
        <v>335</v>
      </c>
      <c r="E90" s="28" t="s">
        <v>146</v>
      </c>
      <c r="F90" s="29">
        <v>40759</v>
      </c>
      <c r="G90" s="30" t="s">
        <v>372</v>
      </c>
      <c r="H90" s="31">
        <v>50</v>
      </c>
      <c r="I90" s="32">
        <v>93</v>
      </c>
      <c r="J90" s="32">
        <v>47</v>
      </c>
      <c r="K90" s="32">
        <v>48</v>
      </c>
      <c r="L90" s="32">
        <v>77</v>
      </c>
      <c r="M90" s="40">
        <v>87</v>
      </c>
      <c r="N90" s="79">
        <f>SUM(Table2[[#This Row],[English]:[SST]])</f>
        <v>402</v>
      </c>
      <c r="O90" s="79">
        <f>RANK(Table2[[#This Row],[Marks Out of 600]],$N$3:$N$138,0)</f>
        <v>72</v>
      </c>
    </row>
    <row r="91" spans="1:15" x14ac:dyDescent="0.25">
      <c r="A91" s="37" t="s">
        <v>463</v>
      </c>
      <c r="B91" s="27" t="s">
        <v>103</v>
      </c>
      <c r="C91" s="28" t="s">
        <v>226</v>
      </c>
      <c r="D91" s="28" t="s">
        <v>336</v>
      </c>
      <c r="E91" s="28" t="s">
        <v>145</v>
      </c>
      <c r="F91" s="29">
        <v>40693</v>
      </c>
      <c r="G91" s="30" t="s">
        <v>372</v>
      </c>
      <c r="H91" s="31">
        <v>87</v>
      </c>
      <c r="I91" s="32">
        <v>56</v>
      </c>
      <c r="J91" s="32">
        <v>38</v>
      </c>
      <c r="K91" s="32">
        <v>36</v>
      </c>
      <c r="L91" s="32">
        <v>41</v>
      </c>
      <c r="M91" s="40">
        <v>95</v>
      </c>
      <c r="N91" s="79">
        <f>SUM(Table2[[#This Row],[English]:[SST]])</f>
        <v>353</v>
      </c>
      <c r="O91" s="79">
        <f>RANK(Table2[[#This Row],[Marks Out of 600]],$N$3:$N$138,0)</f>
        <v>108</v>
      </c>
    </row>
    <row r="92" spans="1:15" x14ac:dyDescent="0.25">
      <c r="A92" s="37" t="s">
        <v>464</v>
      </c>
      <c r="B92" s="27" t="s">
        <v>104</v>
      </c>
      <c r="C92" s="28" t="s">
        <v>227</v>
      </c>
      <c r="D92" s="28" t="s">
        <v>269</v>
      </c>
      <c r="E92" s="28" t="s">
        <v>146</v>
      </c>
      <c r="F92" s="29">
        <v>40763</v>
      </c>
      <c r="G92" s="30" t="s">
        <v>373</v>
      </c>
      <c r="H92" s="31">
        <v>66</v>
      </c>
      <c r="I92" s="32">
        <v>88</v>
      </c>
      <c r="J92" s="32">
        <v>91</v>
      </c>
      <c r="K92" s="32">
        <v>39</v>
      </c>
      <c r="L92" s="32">
        <v>94</v>
      </c>
      <c r="M92" s="40">
        <v>98</v>
      </c>
      <c r="N92" s="79">
        <f>SUM(Table2[[#This Row],[English]:[SST]])</f>
        <v>476</v>
      </c>
      <c r="O92" s="79">
        <f>RANK(Table2[[#This Row],[Marks Out of 600]],$N$3:$N$138,0)</f>
        <v>16</v>
      </c>
    </row>
    <row r="93" spans="1:15" x14ac:dyDescent="0.25">
      <c r="A93" s="37" t="s">
        <v>465</v>
      </c>
      <c r="B93" s="27" t="s">
        <v>105</v>
      </c>
      <c r="C93" s="28" t="s">
        <v>228</v>
      </c>
      <c r="D93" s="28" t="s">
        <v>337</v>
      </c>
      <c r="E93" s="28" t="s">
        <v>146</v>
      </c>
      <c r="F93" s="29">
        <v>40466</v>
      </c>
      <c r="G93" s="30" t="s">
        <v>373</v>
      </c>
      <c r="H93" s="31">
        <v>84</v>
      </c>
      <c r="I93" s="32">
        <v>81</v>
      </c>
      <c r="J93" s="32">
        <v>57</v>
      </c>
      <c r="K93" s="32">
        <v>35</v>
      </c>
      <c r="L93" s="32">
        <v>40</v>
      </c>
      <c r="M93" s="40">
        <v>87</v>
      </c>
      <c r="N93" s="79">
        <f>SUM(Table2[[#This Row],[English]:[SST]])</f>
        <v>384</v>
      </c>
      <c r="O93" s="79">
        <f>RANK(Table2[[#This Row],[Marks Out of 600]],$N$3:$N$138,0)</f>
        <v>85</v>
      </c>
    </row>
    <row r="94" spans="1:15" x14ac:dyDescent="0.25">
      <c r="A94" s="37" t="s">
        <v>466</v>
      </c>
      <c r="B94" s="27" t="s">
        <v>106</v>
      </c>
      <c r="C94" s="28" t="s">
        <v>156</v>
      </c>
      <c r="D94" s="28" t="s">
        <v>278</v>
      </c>
      <c r="E94" s="28" t="s">
        <v>146</v>
      </c>
      <c r="F94" s="29">
        <v>40369</v>
      </c>
      <c r="G94" s="30" t="s">
        <v>373</v>
      </c>
      <c r="H94" s="31">
        <v>56</v>
      </c>
      <c r="I94" s="32">
        <v>79</v>
      </c>
      <c r="J94" s="32">
        <v>53</v>
      </c>
      <c r="K94" s="32">
        <v>44</v>
      </c>
      <c r="L94" s="32">
        <v>70</v>
      </c>
      <c r="M94" s="40">
        <v>51</v>
      </c>
      <c r="N94" s="79">
        <f>SUM(Table2[[#This Row],[English]:[SST]])</f>
        <v>353</v>
      </c>
      <c r="O94" s="79">
        <f>RANK(Table2[[#This Row],[Marks Out of 600]],$N$3:$N$138,0)</f>
        <v>108</v>
      </c>
    </row>
    <row r="95" spans="1:15" x14ac:dyDescent="0.25">
      <c r="A95" s="37" t="s">
        <v>467</v>
      </c>
      <c r="B95" s="27" t="s">
        <v>107</v>
      </c>
      <c r="C95" s="28" t="s">
        <v>229</v>
      </c>
      <c r="D95" s="28" t="s">
        <v>338</v>
      </c>
      <c r="E95" s="28" t="s">
        <v>145</v>
      </c>
      <c r="F95" s="29">
        <v>40382</v>
      </c>
      <c r="G95" s="30" t="s">
        <v>373</v>
      </c>
      <c r="H95" s="31">
        <v>77</v>
      </c>
      <c r="I95" s="32">
        <v>35</v>
      </c>
      <c r="J95" s="32">
        <v>63</v>
      </c>
      <c r="K95" s="32">
        <v>60</v>
      </c>
      <c r="L95" s="32">
        <v>84</v>
      </c>
      <c r="M95" s="40">
        <v>86</v>
      </c>
      <c r="N95" s="79">
        <f>SUM(Table2[[#This Row],[English]:[SST]])</f>
        <v>405</v>
      </c>
      <c r="O95" s="79">
        <f>RANK(Table2[[#This Row],[Marks Out of 600]],$N$3:$N$138,0)</f>
        <v>69</v>
      </c>
    </row>
    <row r="96" spans="1:15" x14ac:dyDescent="0.25">
      <c r="A96" s="37" t="s">
        <v>468</v>
      </c>
      <c r="B96" s="27" t="s">
        <v>108</v>
      </c>
      <c r="C96" s="28" t="s">
        <v>230</v>
      </c>
      <c r="D96" s="28" t="s">
        <v>339</v>
      </c>
      <c r="E96" s="28" t="s">
        <v>145</v>
      </c>
      <c r="F96" s="29">
        <v>40291</v>
      </c>
      <c r="G96" s="30" t="s">
        <v>373</v>
      </c>
      <c r="H96" s="31">
        <v>72</v>
      </c>
      <c r="I96" s="32">
        <v>43</v>
      </c>
      <c r="J96" s="32">
        <v>69</v>
      </c>
      <c r="K96" s="32">
        <v>70</v>
      </c>
      <c r="L96" s="32">
        <v>52</v>
      </c>
      <c r="M96" s="40">
        <v>51</v>
      </c>
      <c r="N96" s="79">
        <f>SUM(Table2[[#This Row],[English]:[SST]])</f>
        <v>357</v>
      </c>
      <c r="O96" s="79">
        <f>RANK(Table2[[#This Row],[Marks Out of 600]],$N$3:$N$138,0)</f>
        <v>107</v>
      </c>
    </row>
    <row r="97" spans="1:15" x14ac:dyDescent="0.25">
      <c r="A97" s="37" t="s">
        <v>469</v>
      </c>
      <c r="B97" s="27" t="s">
        <v>109</v>
      </c>
      <c r="C97" s="28" t="s">
        <v>231</v>
      </c>
      <c r="D97" s="28" t="s">
        <v>340</v>
      </c>
      <c r="E97" s="28" t="s">
        <v>145</v>
      </c>
      <c r="F97" s="29">
        <v>40324</v>
      </c>
      <c r="G97" s="30" t="s">
        <v>373</v>
      </c>
      <c r="H97" s="31">
        <v>77</v>
      </c>
      <c r="I97" s="32">
        <v>62</v>
      </c>
      <c r="J97" s="32">
        <v>41</v>
      </c>
      <c r="K97" s="32">
        <v>61</v>
      </c>
      <c r="L97" s="32">
        <v>83</v>
      </c>
      <c r="M97" s="40">
        <v>37</v>
      </c>
      <c r="N97" s="79">
        <f>SUM(Table2[[#This Row],[English]:[SST]])</f>
        <v>361</v>
      </c>
      <c r="O97" s="79">
        <f>RANK(Table2[[#This Row],[Marks Out of 600]],$N$3:$N$138,0)</f>
        <v>104</v>
      </c>
    </row>
    <row r="98" spans="1:15" x14ac:dyDescent="0.25">
      <c r="A98" s="37" t="s">
        <v>470</v>
      </c>
      <c r="B98" s="27" t="s">
        <v>110</v>
      </c>
      <c r="C98" s="28" t="s">
        <v>232</v>
      </c>
      <c r="D98" s="28" t="s">
        <v>341</v>
      </c>
      <c r="E98" s="28" t="s">
        <v>146</v>
      </c>
      <c r="F98" s="29">
        <v>40254</v>
      </c>
      <c r="G98" s="30" t="s">
        <v>373</v>
      </c>
      <c r="H98" s="31">
        <v>66</v>
      </c>
      <c r="I98" s="32">
        <v>54</v>
      </c>
      <c r="J98" s="32">
        <v>69</v>
      </c>
      <c r="K98" s="32">
        <v>88</v>
      </c>
      <c r="L98" s="32">
        <v>90</v>
      </c>
      <c r="M98" s="40">
        <v>91</v>
      </c>
      <c r="N98" s="79">
        <f>SUM(Table2[[#This Row],[English]:[SST]])</f>
        <v>458</v>
      </c>
      <c r="O98" s="79">
        <f>RANK(Table2[[#This Row],[Marks Out of 600]],$N$3:$N$138,0)</f>
        <v>27</v>
      </c>
    </row>
    <row r="99" spans="1:15" x14ac:dyDescent="0.25">
      <c r="A99" s="37" t="s">
        <v>471</v>
      </c>
      <c r="B99" s="27" t="s">
        <v>111</v>
      </c>
      <c r="C99" s="28" t="s">
        <v>233</v>
      </c>
      <c r="D99" s="28" t="s">
        <v>342</v>
      </c>
      <c r="E99" s="28" t="s">
        <v>146</v>
      </c>
      <c r="F99" s="29">
        <v>40618</v>
      </c>
      <c r="G99" s="30" t="s">
        <v>373</v>
      </c>
      <c r="H99" s="31">
        <v>83</v>
      </c>
      <c r="I99" s="32">
        <v>52</v>
      </c>
      <c r="J99" s="32">
        <v>42</v>
      </c>
      <c r="K99" s="32">
        <v>40</v>
      </c>
      <c r="L99" s="32">
        <v>85</v>
      </c>
      <c r="M99" s="40">
        <v>83</v>
      </c>
      <c r="N99" s="79">
        <f>SUM(Table2[[#This Row],[English]:[SST]])</f>
        <v>385</v>
      </c>
      <c r="O99" s="79">
        <f>RANK(Table2[[#This Row],[Marks Out of 600]],$N$3:$N$138,0)</f>
        <v>84</v>
      </c>
    </row>
    <row r="100" spans="1:15" x14ac:dyDescent="0.25">
      <c r="A100" s="37" t="s">
        <v>472</v>
      </c>
      <c r="B100" s="27" t="s">
        <v>10</v>
      </c>
      <c r="C100" s="28" t="s">
        <v>228</v>
      </c>
      <c r="D100" s="28" t="s">
        <v>343</v>
      </c>
      <c r="E100" s="28" t="s">
        <v>145</v>
      </c>
      <c r="F100" s="29">
        <v>40657</v>
      </c>
      <c r="G100" s="30" t="s">
        <v>373</v>
      </c>
      <c r="H100" s="31">
        <v>77</v>
      </c>
      <c r="I100" s="32">
        <v>77</v>
      </c>
      <c r="J100" s="32">
        <v>59</v>
      </c>
      <c r="K100" s="32">
        <v>82</v>
      </c>
      <c r="L100" s="32">
        <v>76</v>
      </c>
      <c r="M100" s="40">
        <v>94</v>
      </c>
      <c r="N100" s="79">
        <f>SUM(Table2[[#This Row],[English]:[SST]])</f>
        <v>465</v>
      </c>
      <c r="O100" s="79">
        <f>RANK(Table2[[#This Row],[Marks Out of 600]],$N$3:$N$138,0)</f>
        <v>21</v>
      </c>
    </row>
    <row r="101" spans="1:15" x14ac:dyDescent="0.25">
      <c r="A101" s="37" t="s">
        <v>473</v>
      </c>
      <c r="B101" s="27" t="s">
        <v>112</v>
      </c>
      <c r="C101" s="28" t="s">
        <v>234</v>
      </c>
      <c r="D101" s="28" t="s">
        <v>344</v>
      </c>
      <c r="E101" s="28" t="s">
        <v>145</v>
      </c>
      <c r="F101" s="29">
        <v>40536</v>
      </c>
      <c r="G101" s="30" t="s">
        <v>373</v>
      </c>
      <c r="H101" s="31">
        <v>83</v>
      </c>
      <c r="I101" s="32">
        <v>47</v>
      </c>
      <c r="J101" s="32">
        <v>38</v>
      </c>
      <c r="K101" s="32">
        <v>51</v>
      </c>
      <c r="L101" s="32">
        <v>75</v>
      </c>
      <c r="M101" s="40">
        <v>85</v>
      </c>
      <c r="N101" s="79">
        <f>SUM(Table2[[#This Row],[English]:[SST]])</f>
        <v>379</v>
      </c>
      <c r="O101" s="79">
        <f>RANK(Table2[[#This Row],[Marks Out of 600]],$N$3:$N$138,0)</f>
        <v>88</v>
      </c>
    </row>
    <row r="102" spans="1:15" x14ac:dyDescent="0.25">
      <c r="A102" s="37" t="s">
        <v>474</v>
      </c>
      <c r="B102" s="27" t="s">
        <v>12</v>
      </c>
      <c r="C102" s="28" t="s">
        <v>235</v>
      </c>
      <c r="D102" s="28" t="s">
        <v>345</v>
      </c>
      <c r="E102" s="28" t="s">
        <v>146</v>
      </c>
      <c r="F102" s="29">
        <v>40443</v>
      </c>
      <c r="G102" s="30" t="s">
        <v>373</v>
      </c>
      <c r="H102" s="31">
        <v>51</v>
      </c>
      <c r="I102" s="32">
        <v>71</v>
      </c>
      <c r="J102" s="32">
        <v>39</v>
      </c>
      <c r="K102" s="32">
        <v>80</v>
      </c>
      <c r="L102" s="32">
        <v>42</v>
      </c>
      <c r="M102" s="40">
        <v>87</v>
      </c>
      <c r="N102" s="79">
        <f>SUM(Table2[[#This Row],[English]:[SST]])</f>
        <v>370</v>
      </c>
      <c r="O102" s="79">
        <f>RANK(Table2[[#This Row],[Marks Out of 600]],$N$3:$N$138,0)</f>
        <v>96</v>
      </c>
    </row>
    <row r="103" spans="1:15" x14ac:dyDescent="0.25">
      <c r="A103" s="37" t="s">
        <v>475</v>
      </c>
      <c r="B103" s="27" t="s">
        <v>113</v>
      </c>
      <c r="C103" s="28" t="s">
        <v>236</v>
      </c>
      <c r="D103" s="28" t="s">
        <v>346</v>
      </c>
      <c r="E103" s="28" t="s">
        <v>146</v>
      </c>
      <c r="F103" s="29">
        <v>40238</v>
      </c>
      <c r="G103" s="30" t="s">
        <v>373</v>
      </c>
      <c r="H103" s="31">
        <v>91</v>
      </c>
      <c r="I103" s="32">
        <v>91</v>
      </c>
      <c r="J103" s="32">
        <v>64</v>
      </c>
      <c r="K103" s="32">
        <v>50</v>
      </c>
      <c r="L103" s="32">
        <v>97</v>
      </c>
      <c r="M103" s="40">
        <v>62</v>
      </c>
      <c r="N103" s="79">
        <f>SUM(Table2[[#This Row],[English]:[SST]])</f>
        <v>455</v>
      </c>
      <c r="O103" s="79">
        <f>RANK(Table2[[#This Row],[Marks Out of 600]],$N$3:$N$138,0)</f>
        <v>28</v>
      </c>
    </row>
    <row r="104" spans="1:15" x14ac:dyDescent="0.25">
      <c r="A104" s="37" t="s">
        <v>476</v>
      </c>
      <c r="B104" s="27" t="s">
        <v>114</v>
      </c>
      <c r="C104" s="28" t="s">
        <v>237</v>
      </c>
      <c r="D104" s="28" t="s">
        <v>300</v>
      </c>
      <c r="E104" s="28" t="s">
        <v>145</v>
      </c>
      <c r="F104" s="29">
        <v>40547</v>
      </c>
      <c r="G104" s="30" t="s">
        <v>373</v>
      </c>
      <c r="H104" s="31">
        <v>76</v>
      </c>
      <c r="I104" s="32">
        <v>35</v>
      </c>
      <c r="J104" s="32">
        <v>40</v>
      </c>
      <c r="K104" s="32">
        <v>98</v>
      </c>
      <c r="L104" s="32">
        <v>58</v>
      </c>
      <c r="M104" s="40">
        <v>66</v>
      </c>
      <c r="N104" s="79">
        <f>SUM(Table2[[#This Row],[English]:[SST]])</f>
        <v>373</v>
      </c>
      <c r="O104" s="79">
        <f>RANK(Table2[[#This Row],[Marks Out of 600]],$N$3:$N$138,0)</f>
        <v>94</v>
      </c>
    </row>
    <row r="105" spans="1:15" x14ac:dyDescent="0.25">
      <c r="A105" s="37" t="s">
        <v>477</v>
      </c>
      <c r="B105" s="27" t="s">
        <v>115</v>
      </c>
      <c r="C105" s="28" t="s">
        <v>238</v>
      </c>
      <c r="D105" s="28" t="s">
        <v>347</v>
      </c>
      <c r="E105" s="28" t="s">
        <v>145</v>
      </c>
      <c r="F105" s="29">
        <v>40256</v>
      </c>
      <c r="G105" s="30" t="s">
        <v>373</v>
      </c>
      <c r="H105" s="31">
        <v>88</v>
      </c>
      <c r="I105" s="32">
        <v>80</v>
      </c>
      <c r="J105" s="32">
        <v>46</v>
      </c>
      <c r="K105" s="32">
        <v>93</v>
      </c>
      <c r="L105" s="32">
        <v>75</v>
      </c>
      <c r="M105" s="40">
        <v>88</v>
      </c>
      <c r="N105" s="79">
        <f>SUM(Table2[[#This Row],[English]:[SST]])</f>
        <v>470</v>
      </c>
      <c r="O105" s="79">
        <f>RANK(Table2[[#This Row],[Marks Out of 600]],$N$3:$N$138,0)</f>
        <v>18</v>
      </c>
    </row>
    <row r="106" spans="1:15" x14ac:dyDescent="0.25">
      <c r="A106" s="37" t="s">
        <v>478</v>
      </c>
      <c r="B106" s="27" t="s">
        <v>116</v>
      </c>
      <c r="C106" s="28" t="s">
        <v>239</v>
      </c>
      <c r="D106" s="28" t="s">
        <v>348</v>
      </c>
      <c r="E106" s="28" t="s">
        <v>146</v>
      </c>
      <c r="F106" s="29">
        <v>40348</v>
      </c>
      <c r="G106" s="30" t="s">
        <v>373</v>
      </c>
      <c r="H106" s="31">
        <v>71</v>
      </c>
      <c r="I106" s="32">
        <v>66</v>
      </c>
      <c r="J106" s="32">
        <v>62</v>
      </c>
      <c r="K106" s="32">
        <v>36</v>
      </c>
      <c r="L106" s="32">
        <v>54</v>
      </c>
      <c r="M106" s="40">
        <v>93</v>
      </c>
      <c r="N106" s="79">
        <f>SUM(Table2[[#This Row],[English]:[SST]])</f>
        <v>382</v>
      </c>
      <c r="O106" s="79">
        <f>RANK(Table2[[#This Row],[Marks Out of 600]],$N$3:$N$138,0)</f>
        <v>86</v>
      </c>
    </row>
    <row r="107" spans="1:15" x14ac:dyDescent="0.25">
      <c r="A107" s="37" t="s">
        <v>479</v>
      </c>
      <c r="B107" s="27" t="s">
        <v>117</v>
      </c>
      <c r="C107" s="28" t="s">
        <v>240</v>
      </c>
      <c r="D107" s="28" t="s">
        <v>301</v>
      </c>
      <c r="E107" s="28" t="s">
        <v>146</v>
      </c>
      <c r="F107" s="29">
        <v>40319</v>
      </c>
      <c r="G107" s="30" t="s">
        <v>373</v>
      </c>
      <c r="H107" s="31">
        <v>88</v>
      </c>
      <c r="I107" s="32">
        <v>36</v>
      </c>
      <c r="J107" s="32">
        <v>98</v>
      </c>
      <c r="K107" s="32">
        <v>51</v>
      </c>
      <c r="L107" s="32">
        <v>39</v>
      </c>
      <c r="M107" s="40">
        <v>59</v>
      </c>
      <c r="N107" s="79">
        <f>SUM(Table2[[#This Row],[English]:[SST]])</f>
        <v>371</v>
      </c>
      <c r="O107" s="79">
        <f>RANK(Table2[[#This Row],[Marks Out of 600]],$N$3:$N$138,0)</f>
        <v>95</v>
      </c>
    </row>
    <row r="108" spans="1:15" x14ac:dyDescent="0.25">
      <c r="A108" s="37" t="s">
        <v>480</v>
      </c>
      <c r="B108" s="27" t="s">
        <v>8</v>
      </c>
      <c r="C108" s="28" t="s">
        <v>241</v>
      </c>
      <c r="D108" s="28" t="s">
        <v>349</v>
      </c>
      <c r="E108" s="28" t="s">
        <v>145</v>
      </c>
      <c r="F108" s="29">
        <v>40596</v>
      </c>
      <c r="G108" s="30" t="s">
        <v>373</v>
      </c>
      <c r="H108" s="31">
        <v>48</v>
      </c>
      <c r="I108" s="32">
        <v>68</v>
      </c>
      <c r="J108" s="32">
        <v>96</v>
      </c>
      <c r="K108" s="32">
        <v>93</v>
      </c>
      <c r="L108" s="32">
        <v>44</v>
      </c>
      <c r="M108" s="40">
        <v>98</v>
      </c>
      <c r="N108" s="79">
        <f>SUM(Table2[[#This Row],[English]:[SST]])</f>
        <v>447</v>
      </c>
      <c r="O108" s="79">
        <f>RANK(Table2[[#This Row],[Marks Out of 600]],$N$3:$N$138,0)</f>
        <v>34</v>
      </c>
    </row>
    <row r="109" spans="1:15" x14ac:dyDescent="0.25">
      <c r="A109" s="37" t="s">
        <v>481</v>
      </c>
      <c r="B109" s="27" t="s">
        <v>13</v>
      </c>
      <c r="C109" s="28" t="s">
        <v>242</v>
      </c>
      <c r="D109" s="28" t="s">
        <v>301</v>
      </c>
      <c r="E109" s="28" t="s">
        <v>145</v>
      </c>
      <c r="F109" s="29">
        <v>40194</v>
      </c>
      <c r="G109" s="30" t="s">
        <v>373</v>
      </c>
      <c r="H109" s="31">
        <v>50</v>
      </c>
      <c r="I109" s="32">
        <v>96</v>
      </c>
      <c r="J109" s="32">
        <v>73</v>
      </c>
      <c r="K109" s="32">
        <v>58</v>
      </c>
      <c r="L109" s="32">
        <v>84</v>
      </c>
      <c r="M109" s="40">
        <v>49</v>
      </c>
      <c r="N109" s="79">
        <f>SUM(Table2[[#This Row],[English]:[SST]])</f>
        <v>410</v>
      </c>
      <c r="O109" s="79">
        <f>RANK(Table2[[#This Row],[Marks Out of 600]],$N$3:$N$138,0)</f>
        <v>62</v>
      </c>
    </row>
    <row r="110" spans="1:15" x14ac:dyDescent="0.25">
      <c r="A110" s="37" t="s">
        <v>482</v>
      </c>
      <c r="B110" s="27" t="s">
        <v>118</v>
      </c>
      <c r="C110" s="28" t="s">
        <v>243</v>
      </c>
      <c r="D110" s="28" t="s">
        <v>350</v>
      </c>
      <c r="E110" s="28" t="s">
        <v>145</v>
      </c>
      <c r="F110" s="29">
        <v>40313</v>
      </c>
      <c r="G110" s="30" t="s">
        <v>373</v>
      </c>
      <c r="H110" s="31">
        <v>82</v>
      </c>
      <c r="I110" s="32">
        <v>79</v>
      </c>
      <c r="J110" s="32">
        <v>69</v>
      </c>
      <c r="K110" s="32">
        <v>81</v>
      </c>
      <c r="L110" s="32">
        <v>59</v>
      </c>
      <c r="M110" s="40">
        <v>60</v>
      </c>
      <c r="N110" s="79">
        <f>SUM(Table2[[#This Row],[English]:[SST]])</f>
        <v>430</v>
      </c>
      <c r="O110" s="79">
        <f>RANK(Table2[[#This Row],[Marks Out of 600]],$N$3:$N$138,0)</f>
        <v>49</v>
      </c>
    </row>
    <row r="111" spans="1:15" x14ac:dyDescent="0.25">
      <c r="A111" s="37" t="s">
        <v>483</v>
      </c>
      <c r="B111" s="27" t="s">
        <v>119</v>
      </c>
      <c r="C111" s="28" t="s">
        <v>244</v>
      </c>
      <c r="D111" s="28" t="s">
        <v>351</v>
      </c>
      <c r="E111" s="28" t="s">
        <v>145</v>
      </c>
      <c r="F111" s="29">
        <v>40623</v>
      </c>
      <c r="G111" s="30" t="s">
        <v>373</v>
      </c>
      <c r="H111" s="31">
        <v>46</v>
      </c>
      <c r="I111" s="32">
        <v>67</v>
      </c>
      <c r="J111" s="32">
        <v>97</v>
      </c>
      <c r="K111" s="32">
        <v>52</v>
      </c>
      <c r="L111" s="32">
        <v>35</v>
      </c>
      <c r="M111" s="40">
        <v>49</v>
      </c>
      <c r="N111" s="79">
        <f>SUM(Table2[[#This Row],[English]:[SST]])</f>
        <v>346</v>
      </c>
      <c r="O111" s="79">
        <f>RANK(Table2[[#This Row],[Marks Out of 600]],$N$3:$N$138,0)</f>
        <v>114</v>
      </c>
    </row>
    <row r="112" spans="1:15" x14ac:dyDescent="0.25">
      <c r="A112" s="37" t="s">
        <v>484</v>
      </c>
      <c r="B112" s="27" t="s">
        <v>120</v>
      </c>
      <c r="C112" s="28" t="s">
        <v>245</v>
      </c>
      <c r="D112" s="28" t="s">
        <v>281</v>
      </c>
      <c r="E112" s="28" t="s">
        <v>145</v>
      </c>
      <c r="F112" s="29">
        <v>40486</v>
      </c>
      <c r="G112" s="30" t="s">
        <v>373</v>
      </c>
      <c r="H112" s="31">
        <v>83</v>
      </c>
      <c r="I112" s="32">
        <v>85</v>
      </c>
      <c r="J112" s="32">
        <v>46</v>
      </c>
      <c r="K112" s="32">
        <v>55</v>
      </c>
      <c r="L112" s="32">
        <v>70</v>
      </c>
      <c r="M112" s="40">
        <v>53</v>
      </c>
      <c r="N112" s="79">
        <f>SUM(Table2[[#This Row],[English]:[SST]])</f>
        <v>392</v>
      </c>
      <c r="O112" s="79">
        <f>RANK(Table2[[#This Row],[Marks Out of 600]],$N$3:$N$138,0)</f>
        <v>78</v>
      </c>
    </row>
    <row r="113" spans="1:15" x14ac:dyDescent="0.25">
      <c r="A113" s="37" t="s">
        <v>485</v>
      </c>
      <c r="B113" s="27" t="s">
        <v>121</v>
      </c>
      <c r="C113" s="28" t="s">
        <v>246</v>
      </c>
      <c r="D113" s="28" t="s">
        <v>352</v>
      </c>
      <c r="E113" s="28" t="s">
        <v>146</v>
      </c>
      <c r="F113" s="29">
        <v>40312</v>
      </c>
      <c r="G113" s="30" t="s">
        <v>373</v>
      </c>
      <c r="H113" s="31">
        <v>49</v>
      </c>
      <c r="I113" s="32">
        <v>63</v>
      </c>
      <c r="J113" s="32">
        <v>53</v>
      </c>
      <c r="K113" s="32">
        <v>43</v>
      </c>
      <c r="L113" s="32">
        <v>62</v>
      </c>
      <c r="M113" s="40">
        <v>39</v>
      </c>
      <c r="N113" s="79">
        <f>SUM(Table2[[#This Row],[English]:[SST]])</f>
        <v>309</v>
      </c>
      <c r="O113" s="79">
        <f>RANK(Table2[[#This Row],[Marks Out of 600]],$N$3:$N$138,0)</f>
        <v>131</v>
      </c>
    </row>
    <row r="114" spans="1:15" x14ac:dyDescent="0.25">
      <c r="A114" s="37" t="s">
        <v>486</v>
      </c>
      <c r="B114" s="27" t="s">
        <v>122</v>
      </c>
      <c r="C114" s="28" t="s">
        <v>247</v>
      </c>
      <c r="D114" s="28" t="s">
        <v>353</v>
      </c>
      <c r="E114" s="28" t="s">
        <v>146</v>
      </c>
      <c r="F114" s="29">
        <v>40497</v>
      </c>
      <c r="G114" s="30" t="s">
        <v>373</v>
      </c>
      <c r="H114" s="31">
        <v>40</v>
      </c>
      <c r="I114" s="32">
        <v>43</v>
      </c>
      <c r="J114" s="32">
        <v>80</v>
      </c>
      <c r="K114" s="32">
        <v>64</v>
      </c>
      <c r="L114" s="32">
        <v>42</v>
      </c>
      <c r="M114" s="40">
        <v>42</v>
      </c>
      <c r="N114" s="79">
        <f>SUM(Table2[[#This Row],[English]:[SST]])</f>
        <v>311</v>
      </c>
      <c r="O114" s="79">
        <f>RANK(Table2[[#This Row],[Marks Out of 600]],$N$3:$N$138,0)</f>
        <v>129</v>
      </c>
    </row>
    <row r="115" spans="1:15" x14ac:dyDescent="0.25">
      <c r="A115" s="37" t="s">
        <v>487</v>
      </c>
      <c r="B115" s="27" t="s">
        <v>9</v>
      </c>
      <c r="C115" s="28" t="s">
        <v>185</v>
      </c>
      <c r="D115" s="28" t="s">
        <v>354</v>
      </c>
      <c r="E115" s="28" t="s">
        <v>145</v>
      </c>
      <c r="F115" s="29">
        <v>40512</v>
      </c>
      <c r="G115" s="30" t="s">
        <v>373</v>
      </c>
      <c r="H115" s="31">
        <v>86</v>
      </c>
      <c r="I115" s="32">
        <v>86</v>
      </c>
      <c r="J115" s="32">
        <v>45</v>
      </c>
      <c r="K115" s="32">
        <v>47</v>
      </c>
      <c r="L115" s="32">
        <v>40</v>
      </c>
      <c r="M115" s="40">
        <v>96</v>
      </c>
      <c r="N115" s="79">
        <f>SUM(Table2[[#This Row],[English]:[SST]])</f>
        <v>400</v>
      </c>
      <c r="O115" s="79">
        <f>RANK(Table2[[#This Row],[Marks Out of 600]],$N$3:$N$138,0)</f>
        <v>74</v>
      </c>
    </row>
    <row r="116" spans="1:15" x14ac:dyDescent="0.25">
      <c r="A116" s="37" t="s">
        <v>488</v>
      </c>
      <c r="B116" s="27" t="s">
        <v>123</v>
      </c>
      <c r="C116" s="28" t="s">
        <v>248</v>
      </c>
      <c r="D116" s="28" t="s">
        <v>355</v>
      </c>
      <c r="E116" s="28" t="s">
        <v>146</v>
      </c>
      <c r="F116" s="29">
        <v>40434</v>
      </c>
      <c r="G116" s="30" t="s">
        <v>373</v>
      </c>
      <c r="H116" s="31">
        <v>43</v>
      </c>
      <c r="I116" s="32">
        <v>55</v>
      </c>
      <c r="J116" s="32">
        <v>41</v>
      </c>
      <c r="K116" s="32">
        <v>47</v>
      </c>
      <c r="L116" s="32">
        <v>66</v>
      </c>
      <c r="M116" s="40">
        <v>63</v>
      </c>
      <c r="N116" s="79">
        <f>SUM(Table2[[#This Row],[English]:[SST]])</f>
        <v>315</v>
      </c>
      <c r="O116" s="79">
        <f>RANK(Table2[[#This Row],[Marks Out of 600]],$N$3:$N$138,0)</f>
        <v>128</v>
      </c>
    </row>
    <row r="117" spans="1:15" x14ac:dyDescent="0.25">
      <c r="A117" s="37" t="s">
        <v>489</v>
      </c>
      <c r="B117" s="27" t="s">
        <v>124</v>
      </c>
      <c r="C117" s="28" t="s">
        <v>249</v>
      </c>
      <c r="D117" s="28" t="s">
        <v>356</v>
      </c>
      <c r="E117" s="28" t="s">
        <v>146</v>
      </c>
      <c r="F117" s="29">
        <v>40232</v>
      </c>
      <c r="G117" s="30" t="s">
        <v>373</v>
      </c>
      <c r="H117" s="31">
        <v>40</v>
      </c>
      <c r="I117" s="32">
        <v>77</v>
      </c>
      <c r="J117" s="32">
        <v>65</v>
      </c>
      <c r="K117" s="32">
        <v>77</v>
      </c>
      <c r="L117" s="32">
        <v>54</v>
      </c>
      <c r="M117" s="40">
        <v>36</v>
      </c>
      <c r="N117" s="79">
        <f>SUM(Table2[[#This Row],[English]:[SST]])</f>
        <v>349</v>
      </c>
      <c r="O117" s="79">
        <f>RANK(Table2[[#This Row],[Marks Out of 600]],$N$3:$N$138,0)</f>
        <v>112</v>
      </c>
    </row>
    <row r="118" spans="1:15" x14ac:dyDescent="0.25">
      <c r="A118" s="37" t="s">
        <v>490</v>
      </c>
      <c r="B118" s="27" t="s">
        <v>125</v>
      </c>
      <c r="C118" s="28" t="s">
        <v>250</v>
      </c>
      <c r="D118" s="28" t="s">
        <v>268</v>
      </c>
      <c r="E118" s="28" t="s">
        <v>146</v>
      </c>
      <c r="F118" s="29">
        <v>40305</v>
      </c>
      <c r="G118" s="30" t="s">
        <v>373</v>
      </c>
      <c r="H118" s="31">
        <v>40</v>
      </c>
      <c r="I118" s="32">
        <v>57</v>
      </c>
      <c r="J118" s="32">
        <v>69</v>
      </c>
      <c r="K118" s="32">
        <v>90</v>
      </c>
      <c r="L118" s="32">
        <v>51</v>
      </c>
      <c r="M118" s="40">
        <v>61</v>
      </c>
      <c r="N118" s="79">
        <f>SUM(Table2[[#This Row],[English]:[SST]])</f>
        <v>368</v>
      </c>
      <c r="O118" s="79">
        <f>RANK(Table2[[#This Row],[Marks Out of 600]],$N$3:$N$138,0)</f>
        <v>99</v>
      </c>
    </row>
    <row r="119" spans="1:15" x14ac:dyDescent="0.25">
      <c r="A119" s="37" t="s">
        <v>491</v>
      </c>
      <c r="B119" s="27" t="s">
        <v>7</v>
      </c>
      <c r="C119" s="28" t="s">
        <v>251</v>
      </c>
      <c r="D119" s="28" t="s">
        <v>357</v>
      </c>
      <c r="E119" s="28" t="s">
        <v>146</v>
      </c>
      <c r="F119" s="29">
        <v>40318</v>
      </c>
      <c r="G119" s="30" t="s">
        <v>373</v>
      </c>
      <c r="H119" s="31">
        <v>56</v>
      </c>
      <c r="I119" s="32">
        <v>61</v>
      </c>
      <c r="J119" s="32">
        <v>55</v>
      </c>
      <c r="K119" s="32">
        <v>83</v>
      </c>
      <c r="L119" s="32">
        <v>55</v>
      </c>
      <c r="M119" s="40">
        <v>77</v>
      </c>
      <c r="N119" s="79">
        <f>SUM(Table2[[#This Row],[English]:[SST]])</f>
        <v>387</v>
      </c>
      <c r="O119" s="79">
        <f>RANK(Table2[[#This Row],[Marks Out of 600]],$N$3:$N$138,0)</f>
        <v>81</v>
      </c>
    </row>
    <row r="120" spans="1:15" x14ac:dyDescent="0.25">
      <c r="A120" s="37" t="s">
        <v>492</v>
      </c>
      <c r="B120" s="27" t="s">
        <v>126</v>
      </c>
      <c r="C120" s="28" t="s">
        <v>252</v>
      </c>
      <c r="D120" s="28" t="s">
        <v>268</v>
      </c>
      <c r="E120" s="28" t="s">
        <v>145</v>
      </c>
      <c r="F120" s="29">
        <v>40365</v>
      </c>
      <c r="G120" s="30" t="s">
        <v>373</v>
      </c>
      <c r="H120" s="31">
        <v>37</v>
      </c>
      <c r="I120" s="32">
        <v>36</v>
      </c>
      <c r="J120" s="32">
        <v>37</v>
      </c>
      <c r="K120" s="32">
        <v>81</v>
      </c>
      <c r="L120" s="32">
        <v>39</v>
      </c>
      <c r="M120" s="40">
        <v>64</v>
      </c>
      <c r="N120" s="79">
        <f>SUM(Table2[[#This Row],[English]:[SST]])</f>
        <v>294</v>
      </c>
      <c r="O120" s="79">
        <f>RANK(Table2[[#This Row],[Marks Out of 600]],$N$3:$N$138,0)</f>
        <v>134</v>
      </c>
    </row>
    <row r="121" spans="1:15" x14ac:dyDescent="0.25">
      <c r="A121" s="37" t="s">
        <v>493</v>
      </c>
      <c r="B121" s="27" t="s">
        <v>127</v>
      </c>
      <c r="C121" s="28" t="s">
        <v>167</v>
      </c>
      <c r="D121" s="28" t="s">
        <v>309</v>
      </c>
      <c r="E121" s="28" t="s">
        <v>146</v>
      </c>
      <c r="F121" s="29">
        <v>40642</v>
      </c>
      <c r="G121" s="30" t="s">
        <v>373</v>
      </c>
      <c r="H121" s="31">
        <v>42</v>
      </c>
      <c r="I121" s="32">
        <v>77</v>
      </c>
      <c r="J121" s="32">
        <v>66</v>
      </c>
      <c r="K121" s="32">
        <v>42</v>
      </c>
      <c r="L121" s="32">
        <v>44</v>
      </c>
      <c r="M121" s="40">
        <v>64</v>
      </c>
      <c r="N121" s="79">
        <f>SUM(Table2[[#This Row],[English]:[SST]])</f>
        <v>335</v>
      </c>
      <c r="O121" s="79">
        <f>RANK(Table2[[#This Row],[Marks Out of 600]],$N$3:$N$138,0)</f>
        <v>121</v>
      </c>
    </row>
    <row r="122" spans="1:15" x14ac:dyDescent="0.25">
      <c r="A122" s="37" t="s">
        <v>494</v>
      </c>
      <c r="B122" s="27" t="s">
        <v>128</v>
      </c>
      <c r="C122" s="28" t="s">
        <v>253</v>
      </c>
      <c r="D122" s="28" t="s">
        <v>358</v>
      </c>
      <c r="E122" s="28" t="s">
        <v>145</v>
      </c>
      <c r="F122" s="29">
        <v>40221</v>
      </c>
      <c r="G122" s="30" t="s">
        <v>373</v>
      </c>
      <c r="H122" s="31">
        <v>56</v>
      </c>
      <c r="I122" s="32">
        <v>93</v>
      </c>
      <c r="J122" s="32">
        <v>96</v>
      </c>
      <c r="K122" s="32">
        <v>82</v>
      </c>
      <c r="L122" s="32">
        <v>71</v>
      </c>
      <c r="M122" s="40">
        <v>55</v>
      </c>
      <c r="N122" s="79">
        <f>SUM(Table2[[#This Row],[English]:[SST]])</f>
        <v>453</v>
      </c>
      <c r="O122" s="79">
        <f>RANK(Table2[[#This Row],[Marks Out of 600]],$N$3:$N$138,0)</f>
        <v>29</v>
      </c>
    </row>
    <row r="123" spans="1:15" x14ac:dyDescent="0.25">
      <c r="A123" s="37" t="s">
        <v>495</v>
      </c>
      <c r="B123" s="27" t="s">
        <v>11</v>
      </c>
      <c r="C123" s="28" t="s">
        <v>165</v>
      </c>
      <c r="D123" s="28" t="s">
        <v>280</v>
      </c>
      <c r="E123" s="28" t="s">
        <v>145</v>
      </c>
      <c r="F123" s="29">
        <v>40499</v>
      </c>
      <c r="G123" s="30" t="s">
        <v>373</v>
      </c>
      <c r="H123" s="31">
        <v>84</v>
      </c>
      <c r="I123" s="32">
        <v>98</v>
      </c>
      <c r="J123" s="32">
        <v>54</v>
      </c>
      <c r="K123" s="32">
        <v>68</v>
      </c>
      <c r="L123" s="32">
        <v>87</v>
      </c>
      <c r="M123" s="40">
        <v>46</v>
      </c>
      <c r="N123" s="79">
        <f>SUM(Table2[[#This Row],[English]:[SST]])</f>
        <v>437</v>
      </c>
      <c r="O123" s="79">
        <f>RANK(Table2[[#This Row],[Marks Out of 600]],$N$3:$N$138,0)</f>
        <v>44</v>
      </c>
    </row>
    <row r="124" spans="1:15" x14ac:dyDescent="0.25">
      <c r="A124" s="37" t="s">
        <v>496</v>
      </c>
      <c r="B124" s="27" t="s">
        <v>129</v>
      </c>
      <c r="C124" s="28" t="s">
        <v>254</v>
      </c>
      <c r="D124" s="28" t="s">
        <v>359</v>
      </c>
      <c r="E124" s="28" t="s">
        <v>146</v>
      </c>
      <c r="F124" s="29">
        <v>40304</v>
      </c>
      <c r="G124" s="30" t="s">
        <v>373</v>
      </c>
      <c r="H124" s="31">
        <v>78</v>
      </c>
      <c r="I124" s="32">
        <v>69</v>
      </c>
      <c r="J124" s="32">
        <v>46</v>
      </c>
      <c r="K124" s="32">
        <v>40</v>
      </c>
      <c r="L124" s="32">
        <v>55</v>
      </c>
      <c r="M124" s="40">
        <v>49</v>
      </c>
      <c r="N124" s="79">
        <f>SUM(Table2[[#This Row],[English]:[SST]])</f>
        <v>337</v>
      </c>
      <c r="O124" s="79">
        <f>RANK(Table2[[#This Row],[Marks Out of 600]],$N$3:$N$138,0)</f>
        <v>118</v>
      </c>
    </row>
    <row r="125" spans="1:15" x14ac:dyDescent="0.25">
      <c r="A125" s="37" t="s">
        <v>497</v>
      </c>
      <c r="B125" s="27" t="s">
        <v>130</v>
      </c>
      <c r="C125" s="28" t="s">
        <v>183</v>
      </c>
      <c r="D125" s="28" t="s">
        <v>294</v>
      </c>
      <c r="E125" s="28" t="s">
        <v>145</v>
      </c>
      <c r="F125" s="29">
        <v>40296</v>
      </c>
      <c r="G125" s="30" t="s">
        <v>373</v>
      </c>
      <c r="H125" s="31">
        <v>48</v>
      </c>
      <c r="I125" s="32">
        <v>76</v>
      </c>
      <c r="J125" s="32">
        <v>84</v>
      </c>
      <c r="K125" s="32">
        <v>45</v>
      </c>
      <c r="L125" s="32">
        <v>68</v>
      </c>
      <c r="M125" s="40">
        <v>89</v>
      </c>
      <c r="N125" s="79">
        <f>SUM(Table2[[#This Row],[English]:[SST]])</f>
        <v>410</v>
      </c>
      <c r="O125" s="79">
        <f>RANK(Table2[[#This Row],[Marks Out of 600]],$N$3:$N$138,0)</f>
        <v>62</v>
      </c>
    </row>
    <row r="126" spans="1:15" x14ac:dyDescent="0.25">
      <c r="A126" s="37" t="s">
        <v>498</v>
      </c>
      <c r="B126" s="27" t="s">
        <v>131</v>
      </c>
      <c r="C126" s="28" t="s">
        <v>255</v>
      </c>
      <c r="D126" s="28" t="s">
        <v>301</v>
      </c>
      <c r="E126" s="28" t="s">
        <v>145</v>
      </c>
      <c r="F126" s="29">
        <v>40492</v>
      </c>
      <c r="G126" s="30" t="s">
        <v>373</v>
      </c>
      <c r="H126" s="31">
        <v>44</v>
      </c>
      <c r="I126" s="32">
        <v>66</v>
      </c>
      <c r="J126" s="32">
        <v>76</v>
      </c>
      <c r="K126" s="32">
        <v>76</v>
      </c>
      <c r="L126" s="32">
        <v>54</v>
      </c>
      <c r="M126" s="40">
        <v>88</v>
      </c>
      <c r="N126" s="79">
        <f>SUM(Table2[[#This Row],[English]:[SST]])</f>
        <v>404</v>
      </c>
      <c r="O126" s="79">
        <f>RANK(Table2[[#This Row],[Marks Out of 600]],$N$3:$N$138,0)</f>
        <v>71</v>
      </c>
    </row>
    <row r="127" spans="1:15" x14ac:dyDescent="0.25">
      <c r="A127" s="37" t="s">
        <v>499</v>
      </c>
      <c r="B127" s="27" t="s">
        <v>132</v>
      </c>
      <c r="C127" s="28" t="s">
        <v>203</v>
      </c>
      <c r="D127" s="28" t="s">
        <v>360</v>
      </c>
      <c r="E127" s="28" t="s">
        <v>145</v>
      </c>
      <c r="F127" s="29">
        <v>40332</v>
      </c>
      <c r="G127" s="30" t="s">
        <v>373</v>
      </c>
      <c r="H127" s="31">
        <v>84</v>
      </c>
      <c r="I127" s="32">
        <v>65</v>
      </c>
      <c r="J127" s="32">
        <v>53</v>
      </c>
      <c r="K127" s="32">
        <v>50</v>
      </c>
      <c r="L127" s="32">
        <v>43</v>
      </c>
      <c r="M127" s="40">
        <v>79</v>
      </c>
      <c r="N127" s="79">
        <f>SUM(Table2[[#This Row],[English]:[SST]])</f>
        <v>374</v>
      </c>
      <c r="O127" s="79">
        <f>RANK(Table2[[#This Row],[Marks Out of 600]],$N$3:$N$138,0)</f>
        <v>93</v>
      </c>
    </row>
    <row r="128" spans="1:15" x14ac:dyDescent="0.25">
      <c r="A128" s="37" t="s">
        <v>500</v>
      </c>
      <c r="B128" s="27" t="s">
        <v>14</v>
      </c>
      <c r="C128" s="28" t="s">
        <v>166</v>
      </c>
      <c r="D128" s="28" t="s">
        <v>361</v>
      </c>
      <c r="E128" s="28" t="s">
        <v>146</v>
      </c>
      <c r="F128" s="29">
        <v>40526</v>
      </c>
      <c r="G128" s="30" t="s">
        <v>373</v>
      </c>
      <c r="H128" s="31">
        <v>56</v>
      </c>
      <c r="I128" s="32">
        <v>87</v>
      </c>
      <c r="J128" s="32">
        <v>84</v>
      </c>
      <c r="K128" s="32">
        <v>44</v>
      </c>
      <c r="L128" s="32">
        <v>86</v>
      </c>
      <c r="M128" s="40">
        <v>69</v>
      </c>
      <c r="N128" s="79">
        <f>SUM(Table2[[#This Row],[English]:[SST]])</f>
        <v>426</v>
      </c>
      <c r="O128" s="79">
        <f>RANK(Table2[[#This Row],[Marks Out of 600]],$N$3:$N$138,0)</f>
        <v>52</v>
      </c>
    </row>
    <row r="129" spans="1:15" x14ac:dyDescent="0.25">
      <c r="A129" s="37" t="s">
        <v>501</v>
      </c>
      <c r="B129" s="27" t="s">
        <v>133</v>
      </c>
      <c r="C129" s="28" t="s">
        <v>198</v>
      </c>
      <c r="D129" s="28" t="s">
        <v>356</v>
      </c>
      <c r="E129" s="28" t="s">
        <v>145</v>
      </c>
      <c r="F129" s="29">
        <v>40286</v>
      </c>
      <c r="G129" s="30" t="s">
        <v>373</v>
      </c>
      <c r="H129" s="31">
        <v>86</v>
      </c>
      <c r="I129" s="32">
        <v>68</v>
      </c>
      <c r="J129" s="32">
        <v>95</v>
      </c>
      <c r="K129" s="32">
        <v>61</v>
      </c>
      <c r="L129" s="32">
        <v>85</v>
      </c>
      <c r="M129" s="40">
        <v>98</v>
      </c>
      <c r="N129" s="79">
        <f>SUM(Table2[[#This Row],[English]:[SST]])</f>
        <v>493</v>
      </c>
      <c r="O129" s="79">
        <f>RANK(Table2[[#This Row],[Marks Out of 600]],$N$3:$N$138,0)</f>
        <v>9</v>
      </c>
    </row>
    <row r="130" spans="1:15" x14ac:dyDescent="0.25">
      <c r="A130" s="37" t="s">
        <v>502</v>
      </c>
      <c r="B130" s="27" t="s">
        <v>134</v>
      </c>
      <c r="C130" s="28" t="s">
        <v>256</v>
      </c>
      <c r="D130" s="28" t="s">
        <v>274</v>
      </c>
      <c r="E130" s="28" t="s">
        <v>145</v>
      </c>
      <c r="F130" s="29">
        <v>40285</v>
      </c>
      <c r="G130" s="30" t="s">
        <v>373</v>
      </c>
      <c r="H130" s="31">
        <v>71</v>
      </c>
      <c r="I130" s="32">
        <v>96</v>
      </c>
      <c r="J130" s="32">
        <v>52</v>
      </c>
      <c r="K130" s="32">
        <v>66</v>
      </c>
      <c r="L130" s="32">
        <v>46</v>
      </c>
      <c r="M130" s="40">
        <v>79</v>
      </c>
      <c r="N130" s="79">
        <f>SUM(Table2[[#This Row],[English]:[SST]])</f>
        <v>410</v>
      </c>
      <c r="O130" s="79">
        <f>RANK(Table2[[#This Row],[Marks Out of 600]],$N$3:$N$138,0)</f>
        <v>62</v>
      </c>
    </row>
    <row r="131" spans="1:15" x14ac:dyDescent="0.25">
      <c r="A131" s="37" t="s">
        <v>503</v>
      </c>
      <c r="B131" s="27" t="s">
        <v>135</v>
      </c>
      <c r="C131" s="28" t="s">
        <v>257</v>
      </c>
      <c r="D131" s="28" t="s">
        <v>362</v>
      </c>
      <c r="E131" s="28" t="s">
        <v>146</v>
      </c>
      <c r="F131" s="29">
        <v>40340</v>
      </c>
      <c r="G131" s="30" t="s">
        <v>373</v>
      </c>
      <c r="H131" s="31">
        <v>94</v>
      </c>
      <c r="I131" s="32">
        <v>47</v>
      </c>
      <c r="J131" s="32">
        <v>95</v>
      </c>
      <c r="K131" s="32">
        <v>62</v>
      </c>
      <c r="L131" s="32">
        <v>69</v>
      </c>
      <c r="M131" s="40">
        <v>55</v>
      </c>
      <c r="N131" s="79">
        <f>SUM(Table2[[#This Row],[English]:[SST]])</f>
        <v>422</v>
      </c>
      <c r="O131" s="79">
        <f>RANK(Table2[[#This Row],[Marks Out of 600]],$N$3:$N$138,0)</f>
        <v>53</v>
      </c>
    </row>
    <row r="132" spans="1:15" x14ac:dyDescent="0.25">
      <c r="A132" s="37" t="s">
        <v>504</v>
      </c>
      <c r="B132" s="27" t="s">
        <v>136</v>
      </c>
      <c r="C132" s="28" t="s">
        <v>205</v>
      </c>
      <c r="D132" s="28" t="s">
        <v>363</v>
      </c>
      <c r="E132" s="28" t="s">
        <v>146</v>
      </c>
      <c r="F132" s="29">
        <v>40551</v>
      </c>
      <c r="G132" s="30" t="s">
        <v>373</v>
      </c>
      <c r="H132" s="31">
        <v>61</v>
      </c>
      <c r="I132" s="32">
        <v>73</v>
      </c>
      <c r="J132" s="32">
        <v>42</v>
      </c>
      <c r="K132" s="32">
        <v>91</v>
      </c>
      <c r="L132" s="32">
        <v>45</v>
      </c>
      <c r="M132" s="40">
        <v>95</v>
      </c>
      <c r="N132" s="79">
        <f>SUM(Table2[[#This Row],[English]:[SST]])</f>
        <v>407</v>
      </c>
      <c r="O132" s="79">
        <f>RANK(Table2[[#This Row],[Marks Out of 600]],$N$3:$N$138,0)</f>
        <v>67</v>
      </c>
    </row>
    <row r="133" spans="1:15" x14ac:dyDescent="0.25">
      <c r="A133" s="37" t="s">
        <v>505</v>
      </c>
      <c r="B133" s="27" t="s">
        <v>137</v>
      </c>
      <c r="C133" s="28" t="s">
        <v>258</v>
      </c>
      <c r="D133" s="28" t="s">
        <v>364</v>
      </c>
      <c r="E133" s="28" t="s">
        <v>145</v>
      </c>
      <c r="F133" s="29">
        <v>40199</v>
      </c>
      <c r="G133" s="30" t="s">
        <v>373</v>
      </c>
      <c r="H133" s="31">
        <v>51</v>
      </c>
      <c r="I133" s="32">
        <v>50</v>
      </c>
      <c r="J133" s="32">
        <v>55</v>
      </c>
      <c r="K133" s="32">
        <v>56</v>
      </c>
      <c r="L133" s="32">
        <v>89</v>
      </c>
      <c r="M133" s="40">
        <v>86</v>
      </c>
      <c r="N133" s="79">
        <f>SUM(Table2[[#This Row],[English]:[SST]])</f>
        <v>387</v>
      </c>
      <c r="O133" s="79">
        <f>RANK(Table2[[#This Row],[Marks Out of 600]],$N$3:$N$138,0)</f>
        <v>81</v>
      </c>
    </row>
    <row r="134" spans="1:15" x14ac:dyDescent="0.25">
      <c r="A134" s="37" t="s">
        <v>506</v>
      </c>
      <c r="B134" s="27" t="s">
        <v>138</v>
      </c>
      <c r="C134" s="28" t="s">
        <v>259</v>
      </c>
      <c r="D134" s="28" t="s">
        <v>365</v>
      </c>
      <c r="E134" s="28" t="s">
        <v>145</v>
      </c>
      <c r="F134" s="29">
        <v>40207</v>
      </c>
      <c r="G134" s="30" t="s">
        <v>373</v>
      </c>
      <c r="H134" s="31">
        <v>44</v>
      </c>
      <c r="I134" s="32">
        <v>88</v>
      </c>
      <c r="J134" s="32">
        <v>71</v>
      </c>
      <c r="K134" s="32">
        <v>97</v>
      </c>
      <c r="L134" s="32">
        <v>71</v>
      </c>
      <c r="M134" s="40">
        <v>36</v>
      </c>
      <c r="N134" s="79">
        <f>SUM(Table2[[#This Row],[English]:[SST]])</f>
        <v>407</v>
      </c>
      <c r="O134" s="79">
        <f>RANK(Table2[[#This Row],[Marks Out of 600]],$N$3:$N$138,0)</f>
        <v>67</v>
      </c>
    </row>
    <row r="135" spans="1:15" x14ac:dyDescent="0.25">
      <c r="A135" s="37" t="s">
        <v>507</v>
      </c>
      <c r="B135" s="27" t="s">
        <v>139</v>
      </c>
      <c r="C135" s="28" t="s">
        <v>260</v>
      </c>
      <c r="D135" s="28" t="s">
        <v>366</v>
      </c>
      <c r="E135" s="28" t="s">
        <v>145</v>
      </c>
      <c r="F135" s="29">
        <v>40651</v>
      </c>
      <c r="G135" s="30" t="s">
        <v>373</v>
      </c>
      <c r="H135" s="31">
        <v>70</v>
      </c>
      <c r="I135" s="32">
        <v>56</v>
      </c>
      <c r="J135" s="32">
        <v>51</v>
      </c>
      <c r="K135" s="32">
        <v>87</v>
      </c>
      <c r="L135" s="32">
        <v>66</v>
      </c>
      <c r="M135" s="40">
        <v>71</v>
      </c>
      <c r="N135" s="79">
        <f>SUM(Table2[[#This Row],[English]:[SST]])</f>
        <v>401</v>
      </c>
      <c r="O135" s="79">
        <f>RANK(Table2[[#This Row],[Marks Out of 600]],$N$3:$N$138,0)</f>
        <v>73</v>
      </c>
    </row>
    <row r="136" spans="1:15" x14ac:dyDescent="0.25">
      <c r="A136" s="37" t="s">
        <v>508</v>
      </c>
      <c r="B136" s="27" t="s">
        <v>140</v>
      </c>
      <c r="C136" s="28" t="s">
        <v>261</v>
      </c>
      <c r="D136" s="28" t="s">
        <v>367</v>
      </c>
      <c r="E136" s="28" t="s">
        <v>145</v>
      </c>
      <c r="F136" s="29">
        <v>40304</v>
      </c>
      <c r="G136" s="30" t="s">
        <v>373</v>
      </c>
      <c r="H136" s="31">
        <v>67</v>
      </c>
      <c r="I136" s="32">
        <v>71</v>
      </c>
      <c r="J136" s="32">
        <v>86</v>
      </c>
      <c r="K136" s="32">
        <v>64</v>
      </c>
      <c r="L136" s="32">
        <v>38</v>
      </c>
      <c r="M136" s="40">
        <v>42</v>
      </c>
      <c r="N136" s="79">
        <f>SUM(Table2[[#This Row],[English]:[SST]])</f>
        <v>368</v>
      </c>
      <c r="O136" s="79">
        <f>RANK(Table2[[#This Row],[Marks Out of 600]],$N$3:$N$138,0)</f>
        <v>99</v>
      </c>
    </row>
    <row r="137" spans="1:15" x14ac:dyDescent="0.25">
      <c r="A137" s="37" t="s">
        <v>509</v>
      </c>
      <c r="B137" s="27" t="s">
        <v>141</v>
      </c>
      <c r="C137" s="28" t="s">
        <v>215</v>
      </c>
      <c r="D137" s="28" t="s">
        <v>368</v>
      </c>
      <c r="E137" s="28" t="s">
        <v>145</v>
      </c>
      <c r="F137" s="29">
        <v>40530</v>
      </c>
      <c r="G137" s="30" t="s">
        <v>373</v>
      </c>
      <c r="H137" s="31">
        <v>77</v>
      </c>
      <c r="I137" s="32">
        <v>47</v>
      </c>
      <c r="J137" s="32">
        <v>72</v>
      </c>
      <c r="K137" s="32">
        <v>48</v>
      </c>
      <c r="L137" s="32">
        <v>50</v>
      </c>
      <c r="M137" s="40">
        <v>82</v>
      </c>
      <c r="N137" s="79">
        <f>SUM(Table2[[#This Row],[English]:[SST]])</f>
        <v>376</v>
      </c>
      <c r="O137" s="79">
        <f>RANK(Table2[[#This Row],[Marks Out of 600]],$N$3:$N$138,0)</f>
        <v>92</v>
      </c>
    </row>
    <row r="138" spans="1:15" x14ac:dyDescent="0.25">
      <c r="A138" s="37" t="s">
        <v>510</v>
      </c>
      <c r="B138" s="27" t="s">
        <v>142</v>
      </c>
      <c r="C138" s="28" t="s">
        <v>147</v>
      </c>
      <c r="D138" s="28" t="s">
        <v>369</v>
      </c>
      <c r="E138" s="28" t="s">
        <v>146</v>
      </c>
      <c r="F138" s="29">
        <v>40485</v>
      </c>
      <c r="G138" s="30" t="s">
        <v>373</v>
      </c>
      <c r="H138" s="31">
        <v>69</v>
      </c>
      <c r="I138" s="32">
        <v>91</v>
      </c>
      <c r="J138" s="32">
        <v>88</v>
      </c>
      <c r="K138" s="32">
        <v>61</v>
      </c>
      <c r="L138" s="32">
        <v>93</v>
      </c>
      <c r="M138" s="40">
        <v>51</v>
      </c>
      <c r="N138" s="79">
        <f>SUM(Table2[[#This Row],[English]:[SST]])</f>
        <v>453</v>
      </c>
      <c r="O138" s="79">
        <f>RANK(Table2[[#This Row],[Marks Out of 600]],$N$3:$N$138,0)</f>
        <v>29</v>
      </c>
    </row>
    <row r="139" spans="1:15" x14ac:dyDescent="0.25">
      <c r="A139" s="48" t="s">
        <v>511</v>
      </c>
      <c r="B139" s="49" t="s">
        <v>143</v>
      </c>
      <c r="C139" s="50" t="s">
        <v>150</v>
      </c>
      <c r="D139" s="50" t="s">
        <v>370</v>
      </c>
      <c r="E139" s="50" t="s">
        <v>145</v>
      </c>
      <c r="F139" s="51">
        <v>40596</v>
      </c>
      <c r="G139" s="52" t="s">
        <v>373</v>
      </c>
      <c r="H139" s="53">
        <v>63</v>
      </c>
      <c r="I139" s="54">
        <v>58</v>
      </c>
      <c r="J139" s="54">
        <v>87</v>
      </c>
      <c r="K139" s="54">
        <v>61</v>
      </c>
      <c r="L139" s="54">
        <v>95</v>
      </c>
      <c r="M139" s="55">
        <v>74</v>
      </c>
      <c r="N139" s="79">
        <f>SUM(Table2[[#This Row],[English]:[SST]])</f>
        <v>438</v>
      </c>
      <c r="O139" s="80">
        <f>RANK(Table2[[#This Row],[Marks Out of 600]],$N$3:$N$138,0)</f>
        <v>42</v>
      </c>
    </row>
    <row r="140" spans="1:15" x14ac:dyDescent="0.25">
      <c r="A140" s="33"/>
    </row>
    <row r="141" spans="1:15" x14ac:dyDescent="0.25">
      <c r="A141" s="33"/>
      <c r="G141" s="33"/>
    </row>
    <row r="142" spans="1:15" x14ac:dyDescent="0.25">
      <c r="A142" s="33"/>
    </row>
    <row r="143" spans="1:15" x14ac:dyDescent="0.25">
      <c r="A143" s="33"/>
      <c r="B143" s="33"/>
    </row>
    <row r="144" spans="1:15" x14ac:dyDescent="0.25">
      <c r="A144" s="33"/>
    </row>
    <row r="145" spans="1:1" x14ac:dyDescent="0.25">
      <c r="A145" s="33"/>
    </row>
    <row r="146" spans="1:1" x14ac:dyDescent="0.25">
      <c r="A146" s="33"/>
    </row>
    <row r="147" spans="1:1" x14ac:dyDescent="0.25">
      <c r="A147" s="33"/>
    </row>
    <row r="148" spans="1:1" x14ac:dyDescent="0.25">
      <c r="A148" s="33"/>
    </row>
    <row r="149" spans="1:1" x14ac:dyDescent="0.25">
      <c r="A149" s="33"/>
    </row>
    <row r="150" spans="1:1" x14ac:dyDescent="0.25">
      <c r="A150" s="33"/>
    </row>
  </sheetData>
  <sortState xmlns:xlrd2="http://schemas.microsoft.com/office/spreadsheetml/2017/richdata2" ref="A1:L1">
    <sortCondition descending="1" ref="A1"/>
  </sortState>
  <phoneticPr fontId="1" type="noConversion"/>
  <conditionalFormatting sqref="E3:E139">
    <cfRule type="cellIs" dxfId="5" priority="3" operator="equal">
      <formula>"Male"</formula>
    </cfRule>
    <cfRule type="cellIs" dxfId="4" priority="4" operator="equal">
      <formula>"Female"</formula>
    </cfRule>
  </conditionalFormatting>
  <conditionalFormatting sqref="G3:G139">
    <cfRule type="cellIs" dxfId="3" priority="6" operator="equal">
      <formula>"IX"</formula>
    </cfRule>
    <cfRule type="cellIs" dxfId="2" priority="7" operator="equal">
      <formula>"VIII"</formula>
    </cfRule>
  </conditionalFormatting>
  <conditionalFormatting sqref="G92:G139">
    <cfRule type="cellIs" dxfId="1" priority="5" operator="equal">
      <formula>"X"</formula>
    </cfRule>
  </conditionalFormatting>
  <conditionalFormatting sqref="H3:M13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{4F2D4E57-A5A1-46C0-B1D7-BE75284D9702}</x14:id>
        </ext>
      </extLst>
    </cfRule>
  </conditionalFormatting>
  <conditionalFormatting sqref="N3:N139">
    <cfRule type="top10" dxfId="0" priority="2" rank="10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2D4E57-A5A1-46C0-B1D7-BE75284D9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H3:M139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Card</vt:lpstr>
      <vt:lpstr>Dashboard and Graphs</vt:lpstr>
      <vt:lpstr>Datasheet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Dangi</dc:creator>
  <cp:lastModifiedBy>Paras Dangi</cp:lastModifiedBy>
  <cp:lastPrinted>2025-08-16T14:24:37Z</cp:lastPrinted>
  <dcterms:created xsi:type="dcterms:W3CDTF">2025-08-02T20:04:41Z</dcterms:created>
  <dcterms:modified xsi:type="dcterms:W3CDTF">2025-10-06T04:23:40Z</dcterms:modified>
</cp:coreProperties>
</file>