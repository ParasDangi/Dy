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"/>
    </mc:Choice>
  </mc:AlternateContent>
  <xr:revisionPtr revIDLastSave="0" documentId="13_ncr:1_{2A4419D6-02FD-4ACD-A750-7D6EFF8A18EB}" xr6:coauthVersionLast="47" xr6:coauthVersionMax="47" xr10:uidLastSave="{00000000-0000-0000-0000-000000000000}"/>
  <bookViews>
    <workbookView xWindow="-120" yWindow="-120" windowWidth="20730" windowHeight="11040" xr2:uid="{15A1D299-0839-44F5-9802-3C2340097CEE}"/>
  </bookViews>
  <sheets>
    <sheet name="Sheet1" sheetId="1" r:id="rId1"/>
  </sheets>
  <definedNames>
    <definedName name="_xlnm._FilterDatabase" localSheetId="0" hidden="1">Sheet1!$A$4:$J$77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4" i="1"/>
  <c r="I5" i="1"/>
  <c r="I6" i="1"/>
  <c r="I73" i="1"/>
  <c r="I68" i="1"/>
  <c r="I72" i="1"/>
  <c r="I46" i="1"/>
  <c r="I39" i="1"/>
  <c r="I22" i="1"/>
  <c r="I52" i="1"/>
  <c r="I12" i="1"/>
  <c r="I38" i="1"/>
  <c r="I55" i="1"/>
  <c r="I29" i="1"/>
  <c r="I25" i="1"/>
  <c r="I15" i="1"/>
  <c r="I35" i="1"/>
  <c r="I36" i="1"/>
  <c r="I69" i="1"/>
  <c r="I60" i="1"/>
  <c r="I10" i="1"/>
  <c r="I49" i="1"/>
  <c r="I54" i="1"/>
  <c r="I62" i="1"/>
  <c r="I8" i="1"/>
  <c r="I31" i="1"/>
  <c r="I16" i="1"/>
  <c r="I61" i="1"/>
  <c r="I64" i="1"/>
  <c r="I33" i="1"/>
  <c r="I48" i="1"/>
  <c r="I30" i="1"/>
  <c r="I37" i="1"/>
  <c r="I24" i="1"/>
  <c r="I42" i="1"/>
  <c r="I41" i="1"/>
  <c r="I59" i="1"/>
  <c r="I32" i="1"/>
  <c r="I57" i="1"/>
  <c r="I27" i="1"/>
  <c r="I26" i="1"/>
  <c r="I44" i="1"/>
  <c r="I56" i="1"/>
  <c r="I34" i="1"/>
  <c r="I53" i="1"/>
  <c r="I50" i="1"/>
  <c r="I51" i="1"/>
  <c r="I71" i="1"/>
  <c r="I75" i="1"/>
  <c r="I28" i="1"/>
  <c r="I40" i="1"/>
  <c r="I19" i="1"/>
  <c r="I13" i="1"/>
  <c r="I65" i="1"/>
  <c r="I74" i="1"/>
  <c r="I11" i="1"/>
  <c r="I66" i="1"/>
  <c r="I77" i="1"/>
  <c r="I18" i="1"/>
  <c r="I2" i="1"/>
  <c r="I9" i="1"/>
  <c r="I67" i="1"/>
  <c r="I43" i="1"/>
  <c r="I63" i="1"/>
  <c r="I70" i="1"/>
  <c r="I45" i="1"/>
  <c r="I17" i="1"/>
  <c r="I23" i="1"/>
  <c r="I14" i="1"/>
  <c r="I3" i="1"/>
</calcChain>
</file>

<file path=xl/sharedStrings.xml><?xml version="1.0" encoding="utf-8"?>
<sst xmlns="http://schemas.openxmlformats.org/spreadsheetml/2006/main" count="86" uniqueCount="86">
  <si>
    <t>Seat No</t>
  </si>
  <si>
    <t>Name</t>
  </si>
  <si>
    <t>SGPA (Sem-II)</t>
  </si>
  <si>
    <t>SGPA (Sem-I)</t>
  </si>
  <si>
    <t>CGPA</t>
  </si>
  <si>
    <t>TAMGADE ADITI DEVANAND</t>
  </si>
  <si>
    <t>ADSURE KOMAL RAMDAS</t>
  </si>
  <si>
    <t xml:space="preserve">JADHAV ANIKET SUKDEV </t>
  </si>
  <si>
    <t>GOTAL AYUSH MANGESH</t>
  </si>
  <si>
    <t>BARHATE PRANAV SANTOSH</t>
  </si>
  <si>
    <t>BHISE SAMRUDHI PARMESHWAR</t>
  </si>
  <si>
    <t>BHOSALE TANMAY SANTOSH</t>
  </si>
  <si>
    <t>SABLE CHANDRAKANT GANESHARAO</t>
  </si>
  <si>
    <t>CHORGASTI VISHWANATH RAJKUMAR</t>
  </si>
  <si>
    <t>CHOUDHARY NITESH SONARAM</t>
  </si>
  <si>
    <t>DANGI PARASKUMAR UDAY</t>
  </si>
  <si>
    <t>PANSARE DARSHANI BHARAT</t>
  </si>
  <si>
    <t>DEVKAR NANDINI ABASAHEB</t>
  </si>
  <si>
    <t>DEVKAR SNEHAL ANAND</t>
  </si>
  <si>
    <t>DUBEY SACHIN INDRASEN</t>
  </si>
  <si>
    <t>ERANDE PAWAN SURESH</t>
  </si>
  <si>
    <t>GADEKAR YASH DATTATRAY</t>
  </si>
  <si>
    <t>TANPURE HARSHADA MANGESH</t>
  </si>
  <si>
    <t>JAGTAP YASH ANIL</t>
  </si>
  <si>
    <t>JAIN NAKSHATRA MANOJ</t>
  </si>
  <si>
    <t>JUNJAR ABHISHEK JALINDAR</t>
  </si>
  <si>
    <t>KAD SHRAVANI KIRAN</t>
  </si>
  <si>
    <t>KADAM TANISHKA RAVINDRA</t>
  </si>
  <si>
    <t>KAMBLE SHRAVANI SANDEEP</t>
  </si>
  <si>
    <t>SINGH KARAN DEEPAK</t>
  </si>
  <si>
    <t>MASHALKAR KAWERI KALLAPPA</t>
  </si>
  <si>
    <t>GAWADE KIRTI SANTOSH</t>
  </si>
  <si>
    <t xml:space="preserve">KOLHAPURE AARTI SAUDAGAR </t>
  </si>
  <si>
    <t>SABLE KRISHNA LAXMNA</t>
  </si>
  <si>
    <t>KUMBHAR OM ANIL</t>
  </si>
  <si>
    <t>PAWAR LITESH NAGRAJ</t>
  </si>
  <si>
    <t>MANJARE OMKAR HARISHCHANDRA</t>
  </si>
  <si>
    <t>MELKARE ABHISHEK MANOHAR</t>
  </si>
  <si>
    <t>MERAD SAI VITTHAL</t>
  </si>
  <si>
    <t>MISHRA ASTHA MANOJ KUMAR</t>
  </si>
  <si>
    <t>GURUNG MOHIT JANAK</t>
  </si>
  <si>
    <t>KHURPE MONIKA PRADIP</t>
  </si>
  <si>
    <t>PATKAL NIKHIL SANDIP</t>
  </si>
  <si>
    <t>DHOBALE OMKAR VENKAT</t>
  </si>
  <si>
    <t>SABLE OMKAR JAGANNATH</t>
  </si>
  <si>
    <t>GHODAKE ONKAR SURENDRA</t>
  </si>
  <si>
    <t>PEERZADA SUFI AMANAT</t>
  </si>
  <si>
    <t>PEERZADE ANAM BAL HUSSAIN</t>
  </si>
  <si>
    <t>PINJAN PRATHAM ANAND</t>
  </si>
  <si>
    <t>PISAL SRUSHTI SANTOSH</t>
  </si>
  <si>
    <t>KATHAVATE PRANAVI SHIVAJI</t>
  </si>
  <si>
    <t>JADHAV PRITHVIRAJ PRASHANT</t>
  </si>
  <si>
    <t>PUJARE ASHISH SATYAWAN</t>
  </si>
  <si>
    <t>WAGHUMBARE ROHIT BHAGWAN</t>
  </si>
  <si>
    <t>PADWAL SAHIL SANTOSH</t>
  </si>
  <si>
    <t>YADAV SAKSHI SAMBHAJI</t>
  </si>
  <si>
    <t>LAHAMGE SAKSHI SANJAY</t>
  </si>
  <si>
    <t>SANGALE SUJAL ANIL</t>
  </si>
  <si>
    <t>SEN RAHUL SHRAVAN</t>
  </si>
  <si>
    <t>DERE SHRADDHA SAMBHAJI</t>
  </si>
  <si>
    <t>UTTEKAR SHREEYA DINESH</t>
  </si>
  <si>
    <t>CHAVAN SHUBHAM PUNJABRAO</t>
  </si>
  <si>
    <t>DAWKHAR SONAL SAMBHAJI</t>
  </si>
  <si>
    <t>BHOSALE SUMIT SACHIN</t>
  </si>
  <si>
    <t>SABLE SURYAKANT GANESHRAO</t>
  </si>
  <si>
    <t>TAMANG PHURDOLMA SEEMJUNGBO</t>
  </si>
  <si>
    <t xml:space="preserve">DASPUTE TEJAS KISAN </t>
  </si>
  <si>
    <t>THAKARE JIYA CHANDRAKANT</t>
  </si>
  <si>
    <t>THAKURANI ANIKET GURMUKH</t>
  </si>
  <si>
    <t xml:space="preserve">NAIK TRISHA SANJAY </t>
  </si>
  <si>
    <t>KAND TRUPTI BAJIRAO</t>
  </si>
  <si>
    <t>DEVARE TUSHAR RAVINDRA</t>
  </si>
  <si>
    <t>UNDRE PARTH NARESH</t>
  </si>
  <si>
    <t>UPADHYAY LUCKY SANJIV</t>
  </si>
  <si>
    <t>VISHWAKARMA KRISHIKA NASEEB</t>
  </si>
  <si>
    <t xml:space="preserve">WAGH DEVANAND BHAGWAN </t>
  </si>
  <si>
    <t>WAGHMARE KALYANI MADHUKAR</t>
  </si>
  <si>
    <t>KHAIRE YASH RAMDAS</t>
  </si>
  <si>
    <t>DUDHALE SAI TANAJI</t>
  </si>
  <si>
    <t>JADHAV SHRAVANI ASHOK</t>
  </si>
  <si>
    <t>KAWADE UTKARSH PRADEEP</t>
  </si>
  <si>
    <t>SGPA(Sem-III)</t>
  </si>
  <si>
    <t>SGPA(Sem-IV)</t>
  </si>
  <si>
    <t>SGPA(Sem-V)</t>
  </si>
  <si>
    <t>SGPA(Sem-VI)</t>
  </si>
  <si>
    <t>F.Y(2024-25) % (Out of 1100)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</si>
</sst>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C7B3B-0724-4621-9692-2442F04F4CDC}" name="Table1" displayName="Table1" ref="A1:J77" headerRowDxfId="21" dataDxfId="20">
  <autoFilter ref="A1:J77" xr:uid="{B6CC7B3B-0724-4621-9692-2442F04F4CDC}"/>
  <sortState xmlns:xlrd2="http://schemas.microsoft.com/office/spreadsheetml/2017/richdata2" ref="A2:J77">
    <sortCondition descending="1" ref="D1:D77"/>
  </sortState>
  <tableColumns count="10">
    <tableColumn id="1" xr3:uid="{73F3C720-69ED-4154-836E-B98D26644242}" name="Seat No" totalsRowLabel="Total" dataDxfId="19" totalsRowDxfId="18"/>
    <tableColumn id="2" xr3:uid="{8E8B3058-D363-44B6-8F40-1E523757C3E9}" name="Name" dataDxfId="17" totalsRowDxfId="16"/>
    <tableColumn id="3" xr3:uid="{37261371-FAC4-4C46-8A56-34B7522B0272}" name="SGPA (Sem-I)" dataDxfId="15" totalsRowDxfId="14"/>
    <tableColumn id="4" xr3:uid="{5722E19E-C262-4DD8-A4CC-7C317AB9E676}" name="SGPA (Sem-II)" dataDxfId="13" totalsRowDxfId="12"/>
    <tableColumn id="10" xr3:uid="{CA194DFD-3514-4901-AD60-8D6D3EDD6294}" name="SGPA(Sem-III)" dataDxfId="11" totalsRowDxfId="10"/>
    <tableColumn id="11" xr3:uid="{50DD1628-5BFC-4FC6-A26A-7BFFC7C27492}" name="SGPA(Sem-IV)" dataDxfId="9" totalsRowDxfId="8"/>
    <tableColumn id="12" xr3:uid="{78EB0438-AC20-46FE-B2A6-1B2913F6F19E}" name="SGPA(Sem-V)" dataDxfId="7" totalsRowDxfId="6"/>
    <tableColumn id="13" xr3:uid="{7A1E0629-3AFF-40CE-952C-88592F5FA001}" name="SGPA(Sem-VI)" dataDxfId="5" totalsRowDxfId="4"/>
    <tableColumn id="5" xr3:uid="{92445499-90F6-4EF3-99D0-E9725F3A89F2}" name="CGPA" dataDxfId="3" totalsRowDxfId="2">
      <calculatedColumnFormula>SUM(C3:D3)/2</calculatedColumnFormula>
    </tableColumn>
    <tableColumn id="6" xr3:uid="{0A3857BB-37D3-4BF7-B9F8-046B36FA54D9}" name="F.Y(2024-25) % (Out of 1100)" totalsRowFunction="count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DEC3-7145-4699-8F8F-BB7F7847C58D}">
  <dimension ref="A1:L77"/>
  <sheetViews>
    <sheetView tabSelected="1" zoomScaleNormal="100" workbookViewId="0">
      <selection activeCell="C1" sqref="C1"/>
    </sheetView>
  </sheetViews>
  <sheetFormatPr defaultRowHeight="15" x14ac:dyDescent="0.25"/>
  <cols>
    <col min="1" max="1" width="11.5703125" customWidth="1"/>
    <col min="2" max="2" width="39.42578125" customWidth="1"/>
    <col min="3" max="3" width="16.5703125" customWidth="1"/>
    <col min="4" max="8" width="17.7109375" customWidth="1"/>
    <col min="9" max="9" width="12" customWidth="1"/>
    <col min="10" max="10" width="19.42578125" customWidth="1"/>
  </cols>
  <sheetData>
    <row r="1" spans="1:10" ht="29.25" x14ac:dyDescent="0.25">
      <c r="A1" s="1" t="s">
        <v>0</v>
      </c>
      <c r="B1" s="2" t="s">
        <v>1</v>
      </c>
      <c r="C1" s="3" t="s">
        <v>3</v>
      </c>
      <c r="D1" s="3" t="s">
        <v>2</v>
      </c>
      <c r="E1" s="3" t="s">
        <v>81</v>
      </c>
      <c r="F1" s="3" t="s">
        <v>82</v>
      </c>
      <c r="G1" s="3" t="s">
        <v>83</v>
      </c>
      <c r="H1" s="3" t="s">
        <v>84</v>
      </c>
      <c r="I1" s="8" t="s">
        <v>4</v>
      </c>
      <c r="J1" s="3" t="s">
        <v>85</v>
      </c>
    </row>
    <row r="2" spans="1:10" x14ac:dyDescent="0.25">
      <c r="A2" s="4">
        <v>11767</v>
      </c>
      <c r="B2" s="6" t="s">
        <v>69</v>
      </c>
      <c r="C2" s="4">
        <v>9.64</v>
      </c>
      <c r="D2" s="4">
        <v>9.64</v>
      </c>
      <c r="E2" s="4"/>
      <c r="F2" s="4"/>
      <c r="G2" s="4"/>
      <c r="H2" s="4"/>
      <c r="I2" s="4">
        <f>SUM(C2:D2)/2</f>
        <v>9.64</v>
      </c>
      <c r="J2" s="5">
        <v>92.18</v>
      </c>
    </row>
    <row r="3" spans="1:10" x14ac:dyDescent="0.25">
      <c r="A3" s="4">
        <v>11706</v>
      </c>
      <c r="B3" s="6" t="s">
        <v>10</v>
      </c>
      <c r="C3" s="4">
        <v>9.4499999999999993</v>
      </c>
      <c r="D3" s="4">
        <v>9.5500000000000007</v>
      </c>
      <c r="E3" s="4"/>
      <c r="F3" s="4"/>
      <c r="G3" s="4"/>
      <c r="H3" s="4"/>
      <c r="I3" s="4">
        <f>SUM(C3:D3)/2</f>
        <v>9.5</v>
      </c>
      <c r="J3" s="5">
        <v>90.64</v>
      </c>
    </row>
    <row r="4" spans="1:10" x14ac:dyDescent="0.25">
      <c r="A4" s="4">
        <v>11759</v>
      </c>
      <c r="B4" s="6" t="s">
        <v>61</v>
      </c>
      <c r="C4" s="4">
        <v>9.09</v>
      </c>
      <c r="D4" s="4">
        <v>9.4499999999999993</v>
      </c>
      <c r="E4" s="4"/>
      <c r="F4" s="4"/>
      <c r="G4" s="4"/>
      <c r="H4" s="4"/>
      <c r="I4" s="4">
        <f>SUM(C4:D4)/2</f>
        <v>9.27</v>
      </c>
      <c r="J4" s="5">
        <v>84.27</v>
      </c>
    </row>
    <row r="5" spans="1:10" x14ac:dyDescent="0.25">
      <c r="A5" s="4">
        <v>11747</v>
      </c>
      <c r="B5" s="6" t="s">
        <v>49</v>
      </c>
      <c r="C5" s="4">
        <v>8.91</v>
      </c>
      <c r="D5" s="4">
        <v>9.36</v>
      </c>
      <c r="E5" s="4"/>
      <c r="F5" s="4"/>
      <c r="G5" s="4"/>
      <c r="H5" s="4"/>
      <c r="I5" s="4">
        <f>SUM(C5:D5)/2</f>
        <v>9.1349999999999998</v>
      </c>
      <c r="J5" s="5">
        <v>84.27</v>
      </c>
    </row>
    <row r="6" spans="1:10" x14ac:dyDescent="0.25">
      <c r="A6" s="4">
        <v>11735</v>
      </c>
      <c r="B6" s="6" t="s">
        <v>37</v>
      </c>
      <c r="C6" s="4">
        <v>9.64</v>
      </c>
      <c r="D6" s="4">
        <v>9.27</v>
      </c>
      <c r="E6" s="4"/>
      <c r="F6" s="4"/>
      <c r="G6" s="4"/>
      <c r="H6" s="4"/>
      <c r="I6" s="4">
        <f>SUM(C6:D6)/2</f>
        <v>9.4550000000000001</v>
      </c>
      <c r="J6" s="5">
        <v>88.91</v>
      </c>
    </row>
    <row r="7" spans="1:10" x14ac:dyDescent="0.25">
      <c r="A7" s="4">
        <v>11703</v>
      </c>
      <c r="B7" s="6" t="s">
        <v>7</v>
      </c>
      <c r="C7" s="4">
        <v>9.27</v>
      </c>
      <c r="D7" s="4">
        <v>9.27</v>
      </c>
      <c r="E7" s="4"/>
      <c r="F7" s="4"/>
      <c r="G7" s="4"/>
      <c r="H7" s="4"/>
      <c r="I7" s="4">
        <v>9.27</v>
      </c>
      <c r="J7" s="5">
        <v>84</v>
      </c>
    </row>
    <row r="8" spans="1:10" x14ac:dyDescent="0.25">
      <c r="A8" s="4">
        <v>11728</v>
      </c>
      <c r="B8" s="6" t="s">
        <v>30</v>
      </c>
      <c r="C8" s="4">
        <v>9.18</v>
      </c>
      <c r="D8" s="4">
        <v>9.27</v>
      </c>
      <c r="E8" s="4"/>
      <c r="F8" s="4"/>
      <c r="G8" s="4"/>
      <c r="H8" s="4"/>
      <c r="I8" s="4">
        <f>SUM(C8:D8)/2</f>
        <v>9.2249999999999996</v>
      </c>
      <c r="J8" s="5">
        <v>84.73</v>
      </c>
    </row>
    <row r="9" spans="1:10" x14ac:dyDescent="0.25">
      <c r="A9" s="4">
        <v>11768</v>
      </c>
      <c r="B9" s="6" t="s">
        <v>70</v>
      </c>
      <c r="C9" s="4">
        <v>8.73</v>
      </c>
      <c r="D9" s="4">
        <v>9.27</v>
      </c>
      <c r="E9" s="4"/>
      <c r="F9" s="4"/>
      <c r="G9" s="4"/>
      <c r="H9" s="4"/>
      <c r="I9" s="4">
        <f>SUM(C9:D9)/2</f>
        <v>9</v>
      </c>
      <c r="J9" s="5">
        <v>83.18</v>
      </c>
    </row>
    <row r="10" spans="1:10" x14ac:dyDescent="0.25">
      <c r="A10" s="4">
        <v>11724</v>
      </c>
      <c r="B10" s="6" t="s">
        <v>26</v>
      </c>
      <c r="C10" s="4">
        <v>8.27</v>
      </c>
      <c r="D10" s="4">
        <v>9.27</v>
      </c>
      <c r="E10" s="4"/>
      <c r="F10" s="4"/>
      <c r="G10" s="4"/>
      <c r="H10" s="4"/>
      <c r="I10" s="4">
        <f>SUM(C10:D10)/2</f>
        <v>8.77</v>
      </c>
      <c r="J10" s="5">
        <v>79.91</v>
      </c>
    </row>
    <row r="11" spans="1:10" x14ac:dyDescent="0.25">
      <c r="A11" s="4">
        <v>11763</v>
      </c>
      <c r="B11" s="6" t="s">
        <v>65</v>
      </c>
      <c r="C11" s="4">
        <v>8.27</v>
      </c>
      <c r="D11" s="4">
        <v>9.27</v>
      </c>
      <c r="E11" s="4"/>
      <c r="F11" s="4"/>
      <c r="G11" s="4"/>
      <c r="H11" s="4"/>
      <c r="I11" s="4">
        <f>SUM(C11:D11)/2</f>
        <v>8.77</v>
      </c>
      <c r="J11" s="5">
        <v>78.27</v>
      </c>
    </row>
    <row r="12" spans="1:10" x14ac:dyDescent="0.25">
      <c r="A12" s="4">
        <v>11713</v>
      </c>
      <c r="B12" s="6" t="s">
        <v>17</v>
      </c>
      <c r="C12" s="4">
        <v>8.4499999999999993</v>
      </c>
      <c r="D12" s="4">
        <v>9.18</v>
      </c>
      <c r="E12" s="4"/>
      <c r="F12" s="4"/>
      <c r="G12" s="4"/>
      <c r="H12" s="4"/>
      <c r="I12" s="4">
        <f>SUM(C12:D12)/2</f>
        <v>8.8149999999999995</v>
      </c>
      <c r="J12" s="5">
        <v>80.91</v>
      </c>
    </row>
    <row r="13" spans="1:10" x14ac:dyDescent="0.25">
      <c r="A13" s="4">
        <v>11760</v>
      </c>
      <c r="B13" s="6" t="s">
        <v>62</v>
      </c>
      <c r="C13" s="4">
        <v>8.4499999999999993</v>
      </c>
      <c r="D13" s="4">
        <v>9.18</v>
      </c>
      <c r="E13" s="4"/>
      <c r="F13" s="4"/>
      <c r="G13" s="4"/>
      <c r="H13" s="4"/>
      <c r="I13" s="4">
        <f>SUM(C13:D13)/2</f>
        <v>8.8149999999999995</v>
      </c>
      <c r="J13" s="5">
        <v>79.180000000000007</v>
      </c>
    </row>
    <row r="14" spans="1:10" x14ac:dyDescent="0.25">
      <c r="A14" s="4">
        <v>11776</v>
      </c>
      <c r="B14" s="6" t="s">
        <v>77</v>
      </c>
      <c r="C14" s="4">
        <v>9.27</v>
      </c>
      <c r="D14" s="4">
        <v>9.09</v>
      </c>
      <c r="E14" s="4"/>
      <c r="F14" s="4"/>
      <c r="G14" s="4"/>
      <c r="H14" s="4"/>
      <c r="I14" s="4">
        <f>SUM(C14:D14)/2</f>
        <v>9.18</v>
      </c>
      <c r="J14" s="5">
        <v>83.36</v>
      </c>
    </row>
    <row r="15" spans="1:10" x14ac:dyDescent="0.25">
      <c r="A15" s="4">
        <v>11719</v>
      </c>
      <c r="B15" s="6" t="s">
        <v>22</v>
      </c>
      <c r="C15" s="4">
        <v>9.09</v>
      </c>
      <c r="D15" s="4">
        <v>9.09</v>
      </c>
      <c r="E15" s="4"/>
      <c r="F15" s="4"/>
      <c r="G15" s="4"/>
      <c r="H15" s="4"/>
      <c r="I15" s="4">
        <f>SUM(C15:D15)/2</f>
        <v>9.09</v>
      </c>
      <c r="J15" s="5">
        <v>82.09</v>
      </c>
    </row>
    <row r="16" spans="1:10" x14ac:dyDescent="0.25">
      <c r="A16" s="4">
        <v>11730</v>
      </c>
      <c r="B16" s="6" t="s">
        <v>32</v>
      </c>
      <c r="C16" s="4">
        <v>8.73</v>
      </c>
      <c r="D16" s="4">
        <v>9.09</v>
      </c>
      <c r="E16" s="4"/>
      <c r="F16" s="4"/>
      <c r="G16" s="4"/>
      <c r="H16" s="4"/>
      <c r="I16" s="4">
        <f>SUM(C16:D16)/2</f>
        <v>8.91</v>
      </c>
      <c r="J16" s="5">
        <v>81.95</v>
      </c>
    </row>
    <row r="17" spans="1:10" x14ac:dyDescent="0.25">
      <c r="A17" s="4">
        <v>11774</v>
      </c>
      <c r="B17" s="6" t="s">
        <v>75</v>
      </c>
      <c r="C17" s="4">
        <v>8.5500000000000007</v>
      </c>
      <c r="D17" s="4">
        <v>9.09</v>
      </c>
      <c r="E17" s="4"/>
      <c r="F17" s="4"/>
      <c r="G17" s="4"/>
      <c r="H17" s="4"/>
      <c r="I17" s="4">
        <f>SUM(C17:D17)/2</f>
        <v>8.82</v>
      </c>
      <c r="J17" s="5">
        <v>79.55</v>
      </c>
    </row>
    <row r="18" spans="1:10" x14ac:dyDescent="0.25">
      <c r="A18" s="4">
        <v>11766</v>
      </c>
      <c r="B18" s="6" t="s">
        <v>68</v>
      </c>
      <c r="C18" s="4">
        <v>8.18</v>
      </c>
      <c r="D18" s="4">
        <v>9.09</v>
      </c>
      <c r="E18" s="4"/>
      <c r="F18" s="4"/>
      <c r="G18" s="4"/>
      <c r="H18" s="4"/>
      <c r="I18" s="4">
        <f>SUM(C18:D18)/2</f>
        <v>8.6349999999999998</v>
      </c>
      <c r="J18" s="5">
        <v>78.27</v>
      </c>
    </row>
    <row r="19" spans="1:10" x14ac:dyDescent="0.25">
      <c r="A19" s="4">
        <v>11758</v>
      </c>
      <c r="B19" s="6" t="s">
        <v>60</v>
      </c>
      <c r="C19" s="4">
        <v>7.91</v>
      </c>
      <c r="D19" s="4">
        <v>9.09</v>
      </c>
      <c r="E19" s="4"/>
      <c r="F19" s="4"/>
      <c r="G19" s="4"/>
      <c r="H19" s="4"/>
      <c r="I19" s="4">
        <f>SUM(C19:D19)/2</f>
        <v>8.5</v>
      </c>
      <c r="J19" s="5">
        <v>78.36</v>
      </c>
    </row>
    <row r="20" spans="1:10" x14ac:dyDescent="0.25">
      <c r="A20" s="4">
        <v>11711</v>
      </c>
      <c r="B20" s="6" t="s">
        <v>15</v>
      </c>
      <c r="C20" s="4">
        <v>7.09</v>
      </c>
      <c r="D20" s="4">
        <v>9.09</v>
      </c>
      <c r="E20" s="4"/>
      <c r="F20" s="4"/>
      <c r="G20" s="4"/>
      <c r="H20" s="4"/>
      <c r="I20" s="4">
        <f>SUM(C20:D20)/2</f>
        <v>8.09</v>
      </c>
      <c r="J20" s="5">
        <v>72</v>
      </c>
    </row>
    <row r="21" spans="1:10" x14ac:dyDescent="0.25">
      <c r="A21" s="4">
        <v>11702</v>
      </c>
      <c r="B21" s="6" t="s">
        <v>6</v>
      </c>
      <c r="C21" s="4">
        <v>9.09</v>
      </c>
      <c r="D21" s="4">
        <v>9</v>
      </c>
      <c r="E21" s="4"/>
      <c r="F21" s="4"/>
      <c r="G21" s="4"/>
      <c r="H21" s="4"/>
      <c r="I21" s="4">
        <v>9.0500000000000007</v>
      </c>
      <c r="J21" s="4">
        <v>84</v>
      </c>
    </row>
    <row r="22" spans="1:10" x14ac:dyDescent="0.25">
      <c r="A22" s="4">
        <v>11710</v>
      </c>
      <c r="B22" s="6" t="s">
        <v>14</v>
      </c>
      <c r="C22" s="4">
        <v>8.36</v>
      </c>
      <c r="D22" s="4">
        <v>9</v>
      </c>
      <c r="E22" s="4"/>
      <c r="F22" s="4"/>
      <c r="G22" s="4"/>
      <c r="H22" s="4"/>
      <c r="I22" s="4">
        <f>SUM(C22:D22)/2</f>
        <v>8.68</v>
      </c>
      <c r="J22" s="5">
        <v>78.91</v>
      </c>
    </row>
    <row r="23" spans="1:10" x14ac:dyDescent="0.25">
      <c r="A23" s="4">
        <v>11775</v>
      </c>
      <c r="B23" s="6" t="s">
        <v>76</v>
      </c>
      <c r="C23" s="4">
        <v>8.18</v>
      </c>
      <c r="D23" s="4">
        <v>9</v>
      </c>
      <c r="E23" s="4"/>
      <c r="F23" s="4"/>
      <c r="G23" s="4"/>
      <c r="H23" s="4"/>
      <c r="I23" s="4">
        <f>SUM(C23:D23)/2</f>
        <v>8.59</v>
      </c>
      <c r="J23" s="5">
        <v>75</v>
      </c>
    </row>
    <row r="24" spans="1:10" x14ac:dyDescent="0.25">
      <c r="A24" s="4">
        <v>11739</v>
      </c>
      <c r="B24" s="6" t="s">
        <v>41</v>
      </c>
      <c r="C24" s="4">
        <v>7</v>
      </c>
      <c r="D24" s="4">
        <v>9</v>
      </c>
      <c r="E24" s="4"/>
      <c r="F24" s="4"/>
      <c r="G24" s="4"/>
      <c r="H24" s="4"/>
      <c r="I24" s="4">
        <f>SUM(C24:D24)/2</f>
        <v>8</v>
      </c>
      <c r="J24" s="5">
        <v>69.819999999999993</v>
      </c>
    </row>
    <row r="25" spans="1:10" x14ac:dyDescent="0.25">
      <c r="A25" s="4">
        <v>11718</v>
      </c>
      <c r="B25" s="6" t="s">
        <v>21</v>
      </c>
      <c r="C25" s="4">
        <v>7.73</v>
      </c>
      <c r="D25" s="4">
        <v>8.92</v>
      </c>
      <c r="E25" s="4"/>
      <c r="F25" s="4"/>
      <c r="G25" s="4"/>
      <c r="H25" s="4"/>
      <c r="I25" s="4">
        <f>SUM(C25:D25)/2</f>
        <v>8.3249999999999993</v>
      </c>
      <c r="J25" s="5">
        <v>73.09</v>
      </c>
    </row>
    <row r="26" spans="1:10" x14ac:dyDescent="0.25">
      <c r="A26" s="4">
        <v>11746</v>
      </c>
      <c r="B26" s="6" t="s">
        <v>48</v>
      </c>
      <c r="C26" s="4">
        <v>8.91</v>
      </c>
      <c r="D26" s="4">
        <v>8.91</v>
      </c>
      <c r="E26" s="4"/>
      <c r="F26" s="4"/>
      <c r="G26" s="4"/>
      <c r="H26" s="4"/>
      <c r="I26" s="4">
        <f>SUM(C26:D26)/2</f>
        <v>8.91</v>
      </c>
      <c r="J26" s="5">
        <v>81.73</v>
      </c>
    </row>
    <row r="27" spans="1:10" x14ac:dyDescent="0.25">
      <c r="A27" s="4">
        <v>11745</v>
      </c>
      <c r="B27" s="6" t="s">
        <v>47</v>
      </c>
      <c r="C27" s="4">
        <v>8.82</v>
      </c>
      <c r="D27" s="4">
        <v>8.91</v>
      </c>
      <c r="E27" s="4"/>
      <c r="F27" s="4"/>
      <c r="G27" s="4"/>
      <c r="H27" s="4"/>
      <c r="I27" s="4">
        <f>SUM(C27:D27)/2</f>
        <v>8.8650000000000002</v>
      </c>
      <c r="J27" s="5">
        <v>80.819999999999993</v>
      </c>
    </row>
    <row r="28" spans="1:10" x14ac:dyDescent="0.25">
      <c r="A28" s="4">
        <v>11756</v>
      </c>
      <c r="B28" s="6" t="s">
        <v>58</v>
      </c>
      <c r="C28" s="4">
        <v>8.73</v>
      </c>
      <c r="D28" s="4">
        <v>8.91</v>
      </c>
      <c r="E28" s="4"/>
      <c r="F28" s="4"/>
      <c r="G28" s="4"/>
      <c r="H28" s="4"/>
      <c r="I28" s="4">
        <f>SUM(C28:D28)/2</f>
        <v>8.82</v>
      </c>
      <c r="J28" s="5">
        <v>79.55</v>
      </c>
    </row>
    <row r="29" spans="1:10" x14ac:dyDescent="0.25">
      <c r="A29" s="4">
        <v>11716</v>
      </c>
      <c r="B29" s="6" t="s">
        <v>78</v>
      </c>
      <c r="C29" s="4">
        <v>7.91</v>
      </c>
      <c r="D29" s="4">
        <v>8.91</v>
      </c>
      <c r="E29" s="4"/>
      <c r="F29" s="4"/>
      <c r="G29" s="4"/>
      <c r="H29" s="4"/>
      <c r="I29" s="4">
        <f>SUM(C29:D29)/2</f>
        <v>8.41</v>
      </c>
      <c r="J29" s="5">
        <v>73.819999999999993</v>
      </c>
    </row>
    <row r="30" spans="1:10" x14ac:dyDescent="0.25">
      <c r="A30" s="4">
        <v>11737</v>
      </c>
      <c r="B30" s="6" t="s">
        <v>39</v>
      </c>
      <c r="C30" s="4">
        <v>7.82</v>
      </c>
      <c r="D30" s="4">
        <v>8.91</v>
      </c>
      <c r="E30" s="4"/>
      <c r="F30" s="4"/>
      <c r="G30" s="4"/>
      <c r="H30" s="4"/>
      <c r="I30" s="4">
        <f>SUM(C30:D30)/2</f>
        <v>8.3650000000000002</v>
      </c>
      <c r="J30" s="5">
        <v>73.09</v>
      </c>
    </row>
    <row r="31" spans="1:10" x14ac:dyDescent="0.25">
      <c r="A31" s="4">
        <v>11729</v>
      </c>
      <c r="B31" s="6" t="s">
        <v>31</v>
      </c>
      <c r="C31" s="4">
        <v>7.27</v>
      </c>
      <c r="D31" s="4">
        <v>8.91</v>
      </c>
      <c r="E31" s="4"/>
      <c r="F31" s="4"/>
      <c r="G31" s="4"/>
      <c r="H31" s="4"/>
      <c r="I31" s="4">
        <f>SUM(C31:D31)/2</f>
        <v>8.09</v>
      </c>
      <c r="J31" s="5">
        <v>72.36</v>
      </c>
    </row>
    <row r="32" spans="1:10" x14ac:dyDescent="0.25">
      <c r="A32" s="4">
        <v>11743</v>
      </c>
      <c r="B32" s="6" t="s">
        <v>45</v>
      </c>
      <c r="C32" s="4">
        <v>7.73</v>
      </c>
      <c r="D32" s="4">
        <v>8.82</v>
      </c>
      <c r="E32" s="4"/>
      <c r="F32" s="4"/>
      <c r="G32" s="4"/>
      <c r="H32" s="4"/>
      <c r="I32" s="4">
        <f>SUM(C32:D32)/2</f>
        <v>8.2750000000000004</v>
      </c>
      <c r="J32" s="5">
        <v>74.09</v>
      </c>
    </row>
    <row r="33" spans="1:12" x14ac:dyDescent="0.25">
      <c r="A33" s="4">
        <v>11734</v>
      </c>
      <c r="B33" s="6" t="s">
        <v>36</v>
      </c>
      <c r="C33" s="4">
        <v>8.73</v>
      </c>
      <c r="D33" s="4">
        <v>8.73</v>
      </c>
      <c r="E33" s="4"/>
      <c r="F33" s="4"/>
      <c r="G33" s="4"/>
      <c r="H33" s="4"/>
      <c r="I33" s="4">
        <f>SUM(C33:D33)/2</f>
        <v>8.73</v>
      </c>
      <c r="J33" s="5">
        <v>77.27</v>
      </c>
      <c r="L33" s="7"/>
    </row>
    <row r="34" spans="1:12" x14ac:dyDescent="0.25">
      <c r="A34" s="4">
        <v>11750</v>
      </c>
      <c r="B34" s="6" t="s">
        <v>52</v>
      </c>
      <c r="C34" s="4">
        <v>7.91</v>
      </c>
      <c r="D34" s="4">
        <v>8.73</v>
      </c>
      <c r="E34" s="4"/>
      <c r="F34" s="4"/>
      <c r="G34" s="4"/>
      <c r="H34" s="4"/>
      <c r="I34" s="4">
        <f>SUM(C34:D34)/2</f>
        <v>8.32</v>
      </c>
      <c r="J34" s="5">
        <v>73.09</v>
      </c>
    </row>
    <row r="35" spans="1:12" x14ac:dyDescent="0.25">
      <c r="A35" s="4">
        <v>11720</v>
      </c>
      <c r="B35" s="6" t="s">
        <v>79</v>
      </c>
      <c r="C35" s="4">
        <v>6.64</v>
      </c>
      <c r="D35" s="4">
        <v>8.64</v>
      </c>
      <c r="E35" s="4"/>
      <c r="F35" s="4"/>
      <c r="G35" s="4"/>
      <c r="H35" s="4"/>
      <c r="I35" s="4">
        <f>SUM(C35:D35)/2</f>
        <v>7.6400000000000006</v>
      </c>
      <c r="J35" s="5">
        <v>67.27</v>
      </c>
    </row>
    <row r="36" spans="1:12" x14ac:dyDescent="0.25">
      <c r="A36" s="4">
        <v>11721</v>
      </c>
      <c r="B36" s="6" t="s">
        <v>23</v>
      </c>
      <c r="C36" s="4">
        <v>6.64</v>
      </c>
      <c r="D36" s="4">
        <v>8.64</v>
      </c>
      <c r="E36" s="4"/>
      <c r="F36" s="4"/>
      <c r="G36" s="4"/>
      <c r="H36" s="4"/>
      <c r="I36" s="4">
        <f>SUM(C36:D36)/2</f>
        <v>7.6400000000000006</v>
      </c>
      <c r="J36" s="5">
        <v>65.73</v>
      </c>
    </row>
    <row r="37" spans="1:12" x14ac:dyDescent="0.25">
      <c r="A37" s="4">
        <v>11738</v>
      </c>
      <c r="B37" s="6" t="s">
        <v>40</v>
      </c>
      <c r="C37" s="4">
        <v>7.64</v>
      </c>
      <c r="D37" s="4">
        <v>8.5500000000000007</v>
      </c>
      <c r="E37" s="4"/>
      <c r="F37" s="4"/>
      <c r="G37" s="4"/>
      <c r="H37" s="4"/>
      <c r="I37" s="4">
        <f>SUM(C37:D37)/2</f>
        <v>8.0950000000000006</v>
      </c>
      <c r="J37" s="5">
        <v>69.91</v>
      </c>
    </row>
    <row r="38" spans="1:12" x14ac:dyDescent="0.25">
      <c r="A38" s="4">
        <v>11714</v>
      </c>
      <c r="B38" s="6" t="s">
        <v>18</v>
      </c>
      <c r="C38" s="4">
        <v>7.36</v>
      </c>
      <c r="D38" s="4">
        <v>8.5500000000000007</v>
      </c>
      <c r="E38" s="4"/>
      <c r="F38" s="4"/>
      <c r="G38" s="4"/>
      <c r="H38" s="4"/>
      <c r="I38" s="4">
        <f>SUM(C38:D38)/2</f>
        <v>7.9550000000000001</v>
      </c>
      <c r="J38" s="5">
        <v>69.09</v>
      </c>
    </row>
    <row r="39" spans="1:12" x14ac:dyDescent="0.25">
      <c r="A39" s="4">
        <v>11709</v>
      </c>
      <c r="B39" s="6" t="s">
        <v>13</v>
      </c>
      <c r="C39" s="4">
        <v>6.82</v>
      </c>
      <c r="D39" s="4">
        <v>8.5500000000000007</v>
      </c>
      <c r="E39" s="4"/>
      <c r="F39" s="4"/>
      <c r="G39" s="4"/>
      <c r="H39" s="4"/>
      <c r="I39" s="4">
        <f>SUM(C39:D39)/2</f>
        <v>7.6850000000000005</v>
      </c>
      <c r="J39" s="5">
        <v>65.819999999999993</v>
      </c>
    </row>
    <row r="40" spans="1:12" x14ac:dyDescent="0.25">
      <c r="A40" s="4">
        <v>11757</v>
      </c>
      <c r="B40" s="6" t="s">
        <v>59</v>
      </c>
      <c r="C40" s="4">
        <v>7.91</v>
      </c>
      <c r="D40" s="4">
        <v>8.4499999999999993</v>
      </c>
      <c r="E40" s="4"/>
      <c r="F40" s="4"/>
      <c r="G40" s="4"/>
      <c r="H40" s="4"/>
      <c r="I40" s="4">
        <f>SUM(C40:D40)/2</f>
        <v>8.18</v>
      </c>
      <c r="J40" s="5">
        <v>71.27</v>
      </c>
    </row>
    <row r="41" spans="1:12" x14ac:dyDescent="0.25">
      <c r="A41" s="4">
        <v>11741</v>
      </c>
      <c r="B41" s="6" t="s">
        <v>43</v>
      </c>
      <c r="C41" s="4">
        <v>7.64</v>
      </c>
      <c r="D41" s="4">
        <v>8.4499999999999993</v>
      </c>
      <c r="E41" s="4"/>
      <c r="F41" s="4"/>
      <c r="G41" s="4"/>
      <c r="H41" s="4"/>
      <c r="I41" s="4">
        <f>SUM(C41:D41)/2</f>
        <v>8.0449999999999999</v>
      </c>
      <c r="J41" s="5">
        <v>70.27</v>
      </c>
    </row>
    <row r="42" spans="1:12" x14ac:dyDescent="0.25">
      <c r="A42" s="4">
        <v>11740</v>
      </c>
      <c r="B42" s="6" t="s">
        <v>42</v>
      </c>
      <c r="C42" s="4">
        <v>6.91</v>
      </c>
      <c r="D42" s="4">
        <v>8.4499999999999993</v>
      </c>
      <c r="E42" s="4"/>
      <c r="F42" s="4"/>
      <c r="G42" s="4"/>
      <c r="H42" s="4"/>
      <c r="I42" s="4">
        <f>SUM(C42:D42)/2</f>
        <v>7.68</v>
      </c>
      <c r="J42" s="5">
        <v>67.27</v>
      </c>
    </row>
    <row r="43" spans="1:12" x14ac:dyDescent="0.25">
      <c r="A43" s="4">
        <v>11770</v>
      </c>
      <c r="B43" s="6" t="s">
        <v>72</v>
      </c>
      <c r="C43" s="4">
        <v>8.18</v>
      </c>
      <c r="D43" s="4">
        <v>8.36</v>
      </c>
      <c r="E43" s="4"/>
      <c r="F43" s="4"/>
      <c r="G43" s="4"/>
      <c r="H43" s="4"/>
      <c r="I43" s="4">
        <f>SUM(C43:D43)/2</f>
        <v>8.27</v>
      </c>
      <c r="J43" s="5">
        <v>71.55</v>
      </c>
    </row>
    <row r="44" spans="1:12" x14ac:dyDescent="0.25">
      <c r="A44" s="4">
        <v>11748</v>
      </c>
      <c r="B44" s="6" t="s">
        <v>50</v>
      </c>
      <c r="C44" s="4">
        <v>7.73</v>
      </c>
      <c r="D44" s="4">
        <v>8.36</v>
      </c>
      <c r="E44" s="4"/>
      <c r="F44" s="4"/>
      <c r="G44" s="4"/>
      <c r="H44" s="4"/>
      <c r="I44" s="4">
        <f>SUM(C44:D44)/2</f>
        <v>8.0449999999999999</v>
      </c>
      <c r="J44" s="5">
        <v>69.09</v>
      </c>
    </row>
    <row r="45" spans="1:12" x14ac:dyDescent="0.25">
      <c r="A45" s="4">
        <v>11773</v>
      </c>
      <c r="B45" s="6" t="s">
        <v>74</v>
      </c>
      <c r="C45" s="4">
        <v>8.09</v>
      </c>
      <c r="D45" s="4">
        <v>8.18</v>
      </c>
      <c r="E45" s="4"/>
      <c r="F45" s="4"/>
      <c r="G45" s="4"/>
      <c r="H45" s="4"/>
      <c r="I45" s="4">
        <f>SUM(C45:D45)/2</f>
        <v>8.1349999999999998</v>
      </c>
      <c r="J45" s="5">
        <v>69.73</v>
      </c>
    </row>
    <row r="46" spans="1:12" x14ac:dyDescent="0.25">
      <c r="A46" s="4">
        <v>11707</v>
      </c>
      <c r="B46" s="6" t="s">
        <v>11</v>
      </c>
      <c r="C46" s="4">
        <v>7.55</v>
      </c>
      <c r="D46" s="4">
        <v>8.18</v>
      </c>
      <c r="E46" s="4"/>
      <c r="F46" s="4"/>
      <c r="G46" s="4"/>
      <c r="H46" s="4"/>
      <c r="I46" s="4">
        <f>SUM(C46:D46)/2</f>
        <v>7.8650000000000002</v>
      </c>
      <c r="J46" s="5">
        <v>66.55</v>
      </c>
    </row>
    <row r="47" spans="1:12" x14ac:dyDescent="0.25">
      <c r="A47" s="4">
        <v>11704</v>
      </c>
      <c r="B47" s="6" t="s">
        <v>8</v>
      </c>
      <c r="C47" s="4">
        <v>7.18</v>
      </c>
      <c r="D47" s="4">
        <v>8.18</v>
      </c>
      <c r="E47" s="4"/>
      <c r="F47" s="4"/>
      <c r="G47" s="4"/>
      <c r="H47" s="4"/>
      <c r="I47" s="4">
        <v>7.68</v>
      </c>
      <c r="J47" s="5">
        <v>68.819999999999993</v>
      </c>
    </row>
    <row r="48" spans="1:12" x14ac:dyDescent="0.25">
      <c r="A48" s="4">
        <v>11736</v>
      </c>
      <c r="B48" s="6" t="s">
        <v>38</v>
      </c>
      <c r="C48" s="4">
        <v>7.09</v>
      </c>
      <c r="D48" s="4">
        <v>8.18</v>
      </c>
      <c r="E48" s="4"/>
      <c r="F48" s="4"/>
      <c r="G48" s="4"/>
      <c r="H48" s="4"/>
      <c r="I48" s="4">
        <f>SUM(C48:D48)/2</f>
        <v>7.6349999999999998</v>
      </c>
      <c r="J48" s="5">
        <v>64.27</v>
      </c>
    </row>
    <row r="49" spans="1:10" x14ac:dyDescent="0.25">
      <c r="A49" s="4">
        <v>11725</v>
      </c>
      <c r="B49" s="6" t="s">
        <v>27</v>
      </c>
      <c r="C49" s="4">
        <v>6.73</v>
      </c>
      <c r="D49" s="4">
        <v>8.18</v>
      </c>
      <c r="E49" s="4"/>
      <c r="F49" s="4"/>
      <c r="G49" s="4"/>
      <c r="H49" s="4"/>
      <c r="I49" s="4">
        <f>SUM(C49:D49)/2</f>
        <v>7.4550000000000001</v>
      </c>
      <c r="J49" s="5">
        <v>65.91</v>
      </c>
    </row>
    <row r="50" spans="1:10" x14ac:dyDescent="0.25">
      <c r="A50" s="4">
        <v>11752</v>
      </c>
      <c r="B50" s="6" t="s">
        <v>54</v>
      </c>
      <c r="C50" s="4">
        <v>7.73</v>
      </c>
      <c r="D50" s="4">
        <v>8.09</v>
      </c>
      <c r="E50" s="4"/>
      <c r="F50" s="4"/>
      <c r="G50" s="4"/>
      <c r="H50" s="4"/>
      <c r="I50" s="4">
        <f>SUM(C50:D50)/2</f>
        <v>7.91</v>
      </c>
      <c r="J50" s="5">
        <v>68.55</v>
      </c>
    </row>
    <row r="51" spans="1:10" x14ac:dyDescent="0.25">
      <c r="A51" s="4">
        <v>11753</v>
      </c>
      <c r="B51" s="6" t="s">
        <v>55</v>
      </c>
      <c r="C51" s="4">
        <v>7.55</v>
      </c>
      <c r="D51" s="4">
        <v>8.09</v>
      </c>
      <c r="E51" s="4"/>
      <c r="F51" s="4"/>
      <c r="G51" s="4"/>
      <c r="H51" s="4"/>
      <c r="I51" s="4">
        <f>SUM(C51:D51)/2</f>
        <v>7.82</v>
      </c>
      <c r="J51" s="5">
        <v>66.09</v>
      </c>
    </row>
    <row r="52" spans="1:10" x14ac:dyDescent="0.25">
      <c r="A52" s="4">
        <v>11712</v>
      </c>
      <c r="B52" s="6" t="s">
        <v>16</v>
      </c>
      <c r="C52" s="4">
        <v>7</v>
      </c>
      <c r="D52" s="4">
        <v>8.09</v>
      </c>
      <c r="E52" s="4"/>
      <c r="F52" s="4"/>
      <c r="G52" s="4"/>
      <c r="H52" s="4"/>
      <c r="I52" s="4">
        <f>SUM(C52:D52)/2</f>
        <v>7.5449999999999999</v>
      </c>
      <c r="J52" s="5">
        <v>66.64</v>
      </c>
    </row>
    <row r="53" spans="1:10" x14ac:dyDescent="0.25">
      <c r="A53" s="4">
        <v>11751</v>
      </c>
      <c r="B53" s="6" t="s">
        <v>53</v>
      </c>
      <c r="C53" s="4">
        <v>6.73</v>
      </c>
      <c r="D53" s="4">
        <v>8.09</v>
      </c>
      <c r="E53" s="4"/>
      <c r="F53" s="4"/>
      <c r="G53" s="4"/>
      <c r="H53" s="4"/>
      <c r="I53" s="4">
        <f>SUM(C53:D53)/2</f>
        <v>7.41</v>
      </c>
      <c r="J53" s="5">
        <v>64.27</v>
      </c>
    </row>
    <row r="54" spans="1:10" x14ac:dyDescent="0.25">
      <c r="A54" s="4">
        <v>11726</v>
      </c>
      <c r="B54" s="6" t="s">
        <v>28</v>
      </c>
      <c r="C54" s="4">
        <v>7.55</v>
      </c>
      <c r="D54" s="4">
        <v>8</v>
      </c>
      <c r="E54" s="4"/>
      <c r="F54" s="4"/>
      <c r="G54" s="4"/>
      <c r="H54" s="4"/>
      <c r="I54" s="4">
        <f>SUM(C54:D54)/2</f>
        <v>7.7750000000000004</v>
      </c>
      <c r="J54" s="5">
        <v>66.09</v>
      </c>
    </row>
    <row r="55" spans="1:10" x14ac:dyDescent="0.25">
      <c r="A55" s="4">
        <v>11715</v>
      </c>
      <c r="B55" s="6" t="s">
        <v>19</v>
      </c>
      <c r="C55" s="4">
        <v>7.27</v>
      </c>
      <c r="D55" s="4">
        <v>7.91</v>
      </c>
      <c r="E55" s="4"/>
      <c r="F55" s="4"/>
      <c r="G55" s="4"/>
      <c r="H55" s="4"/>
      <c r="I55" s="4">
        <f>SUM(C55:D55)/2</f>
        <v>7.59</v>
      </c>
      <c r="J55" s="5">
        <v>65.55</v>
      </c>
    </row>
    <row r="56" spans="1:10" x14ac:dyDescent="0.25">
      <c r="A56" s="4">
        <v>11749</v>
      </c>
      <c r="B56" s="6" t="s">
        <v>51</v>
      </c>
      <c r="C56" s="4">
        <v>6.36</v>
      </c>
      <c r="D56" s="4">
        <v>7.91</v>
      </c>
      <c r="E56" s="4"/>
      <c r="F56" s="4"/>
      <c r="G56" s="4"/>
      <c r="H56" s="4"/>
      <c r="I56" s="4">
        <f>SUM(C56:D56)/2</f>
        <v>7.1349999999999998</v>
      </c>
      <c r="J56" s="5">
        <v>62.18</v>
      </c>
    </row>
    <row r="57" spans="1:10" x14ac:dyDescent="0.25">
      <c r="A57" s="4">
        <v>11744</v>
      </c>
      <c r="B57" s="6" t="s">
        <v>46</v>
      </c>
      <c r="C57" s="4">
        <v>7.55</v>
      </c>
      <c r="D57" s="4">
        <v>7.82</v>
      </c>
      <c r="E57" s="4"/>
      <c r="F57" s="4"/>
      <c r="G57" s="4"/>
      <c r="H57" s="4"/>
      <c r="I57" s="4">
        <f>SUM(C57:D57)/2</f>
        <v>7.6850000000000005</v>
      </c>
      <c r="J57" s="5">
        <v>66</v>
      </c>
    </row>
    <row r="58" spans="1:10" x14ac:dyDescent="0.25">
      <c r="A58" s="4">
        <v>11705</v>
      </c>
      <c r="B58" s="6" t="s">
        <v>9</v>
      </c>
      <c r="C58" s="4">
        <v>6.91</v>
      </c>
      <c r="D58" s="4">
        <v>7.82</v>
      </c>
      <c r="E58" s="4"/>
      <c r="F58" s="4"/>
      <c r="G58" s="4"/>
      <c r="H58" s="4"/>
      <c r="I58" s="4">
        <v>7.36</v>
      </c>
      <c r="J58" s="5">
        <v>63.18</v>
      </c>
    </row>
    <row r="59" spans="1:10" x14ac:dyDescent="0.25">
      <c r="A59" s="4">
        <v>11742</v>
      </c>
      <c r="B59" s="6" t="s">
        <v>44</v>
      </c>
      <c r="C59" s="4">
        <v>6.45</v>
      </c>
      <c r="D59" s="4">
        <v>7.73</v>
      </c>
      <c r="E59" s="4"/>
      <c r="F59" s="4"/>
      <c r="G59" s="4"/>
      <c r="H59" s="4"/>
      <c r="I59" s="4">
        <f>SUM(C59:D59)/2</f>
        <v>7.09</v>
      </c>
      <c r="J59" s="5">
        <v>61.27</v>
      </c>
    </row>
    <row r="60" spans="1:10" x14ac:dyDescent="0.25">
      <c r="A60" s="4">
        <v>11723</v>
      </c>
      <c r="B60" s="6" t="s">
        <v>25</v>
      </c>
      <c r="C60" s="4">
        <v>6.91</v>
      </c>
      <c r="D60" s="4">
        <v>7.64</v>
      </c>
      <c r="E60" s="4"/>
      <c r="F60" s="4"/>
      <c r="G60" s="4"/>
      <c r="H60" s="4"/>
      <c r="I60" s="4">
        <f>SUM(C60:D60)/2</f>
        <v>7.2750000000000004</v>
      </c>
      <c r="J60" s="5">
        <v>61.91</v>
      </c>
    </row>
    <row r="61" spans="1:10" x14ac:dyDescent="0.25">
      <c r="A61" s="4">
        <v>11732</v>
      </c>
      <c r="B61" s="6" t="s">
        <v>34</v>
      </c>
      <c r="C61" s="4">
        <v>6.64</v>
      </c>
      <c r="D61" s="4">
        <v>7.55</v>
      </c>
      <c r="E61" s="4"/>
      <c r="F61" s="4"/>
      <c r="G61" s="4"/>
      <c r="H61" s="4"/>
      <c r="I61" s="4">
        <f>SUM(C61:D61)/2</f>
        <v>7.0949999999999998</v>
      </c>
      <c r="J61" s="5">
        <v>60.27</v>
      </c>
    </row>
    <row r="62" spans="1:10" x14ac:dyDescent="0.25">
      <c r="A62" s="4">
        <v>11727</v>
      </c>
      <c r="B62" s="6" t="s">
        <v>29</v>
      </c>
      <c r="C62" s="4">
        <v>6.64</v>
      </c>
      <c r="D62" s="4">
        <v>7.45</v>
      </c>
      <c r="E62" s="4"/>
      <c r="F62" s="4"/>
      <c r="G62" s="4"/>
      <c r="H62" s="4"/>
      <c r="I62" s="4">
        <f>SUM(C62:D62)/2</f>
        <v>7.0449999999999999</v>
      </c>
      <c r="J62" s="5">
        <v>59.55</v>
      </c>
    </row>
    <row r="63" spans="1:10" x14ac:dyDescent="0.25">
      <c r="A63" s="4">
        <v>11771</v>
      </c>
      <c r="B63" s="6" t="s">
        <v>73</v>
      </c>
      <c r="C63" s="4">
        <v>6.09</v>
      </c>
      <c r="D63" s="4">
        <v>7.36</v>
      </c>
      <c r="E63" s="4"/>
      <c r="F63" s="4"/>
      <c r="G63" s="4"/>
      <c r="H63" s="4"/>
      <c r="I63" s="4">
        <f>SUM(C63:D63)/2</f>
        <v>6.7249999999999996</v>
      </c>
      <c r="J63" s="5">
        <v>59.18</v>
      </c>
    </row>
    <row r="64" spans="1:10" x14ac:dyDescent="0.25">
      <c r="A64" s="4">
        <v>11733</v>
      </c>
      <c r="B64" s="6" t="s">
        <v>35</v>
      </c>
      <c r="C64" s="4">
        <v>6.36</v>
      </c>
      <c r="D64" s="4">
        <v>5.91</v>
      </c>
      <c r="E64" s="4"/>
      <c r="F64" s="4"/>
      <c r="G64" s="4"/>
      <c r="H64" s="4"/>
      <c r="I64" s="4">
        <f>SUM(C64:D64)/2</f>
        <v>6.1349999999999998</v>
      </c>
      <c r="J64" s="5">
        <v>54.27</v>
      </c>
    </row>
    <row r="65" spans="1:10" x14ac:dyDescent="0.25">
      <c r="A65" s="4">
        <v>11761</v>
      </c>
      <c r="B65" s="6" t="s">
        <v>63</v>
      </c>
      <c r="C65" s="4">
        <v>0</v>
      </c>
      <c r="D65" s="4">
        <v>0</v>
      </c>
      <c r="E65" s="4"/>
      <c r="F65" s="4"/>
      <c r="G65" s="4"/>
      <c r="H65" s="4"/>
      <c r="I65" s="4">
        <f>SUM(C65:D65)/2</f>
        <v>0</v>
      </c>
      <c r="J65" s="5">
        <v>0</v>
      </c>
    </row>
    <row r="66" spans="1:10" x14ac:dyDescent="0.25">
      <c r="A66" s="4">
        <v>11764</v>
      </c>
      <c r="B66" s="6" t="s">
        <v>66</v>
      </c>
      <c r="C66" s="4">
        <v>0</v>
      </c>
      <c r="D66" s="4">
        <v>0</v>
      </c>
      <c r="E66" s="4"/>
      <c r="F66" s="4"/>
      <c r="G66" s="4"/>
      <c r="H66" s="4"/>
      <c r="I66" s="4">
        <f>SUM(C66:D66)/2</f>
        <v>0</v>
      </c>
      <c r="J66" s="5">
        <v>0</v>
      </c>
    </row>
    <row r="67" spans="1:10" x14ac:dyDescent="0.25">
      <c r="A67" s="4">
        <v>11769</v>
      </c>
      <c r="B67" s="6" t="s">
        <v>71</v>
      </c>
      <c r="C67" s="4">
        <v>0</v>
      </c>
      <c r="D67" s="4">
        <v>0</v>
      </c>
      <c r="E67" s="4"/>
      <c r="F67" s="4"/>
      <c r="G67" s="4"/>
      <c r="H67" s="4"/>
      <c r="I67" s="4">
        <f>SUM(C67:D67)/2</f>
        <v>0</v>
      </c>
      <c r="J67" s="5">
        <v>0</v>
      </c>
    </row>
    <row r="68" spans="1:10" x14ac:dyDescent="0.25">
      <c r="A68" s="4">
        <v>11717</v>
      </c>
      <c r="B68" s="6" t="s">
        <v>20</v>
      </c>
      <c r="C68" s="4">
        <v>0</v>
      </c>
      <c r="D68" s="4">
        <v>0</v>
      </c>
      <c r="E68" s="4"/>
      <c r="F68" s="4"/>
      <c r="G68" s="4"/>
      <c r="H68" s="4"/>
      <c r="I68" s="4">
        <f>SUM(C68:D68)/2</f>
        <v>0</v>
      </c>
      <c r="J68" s="5">
        <v>0</v>
      </c>
    </row>
    <row r="69" spans="1:10" x14ac:dyDescent="0.25">
      <c r="A69" s="4">
        <v>11722</v>
      </c>
      <c r="B69" s="6" t="s">
        <v>24</v>
      </c>
      <c r="C69" s="4">
        <v>0</v>
      </c>
      <c r="D69" s="4">
        <v>0</v>
      </c>
      <c r="E69" s="4"/>
      <c r="F69" s="4"/>
      <c r="G69" s="4"/>
      <c r="H69" s="4"/>
      <c r="I69" s="4">
        <f>SUM(C69:D69)/2</f>
        <v>0</v>
      </c>
      <c r="J69" s="5">
        <v>0</v>
      </c>
    </row>
    <row r="70" spans="1:10" x14ac:dyDescent="0.25">
      <c r="A70" s="4">
        <v>11772</v>
      </c>
      <c r="B70" s="6" t="s">
        <v>80</v>
      </c>
      <c r="C70" s="4">
        <v>0</v>
      </c>
      <c r="D70" s="4">
        <v>0</v>
      </c>
      <c r="E70" s="4"/>
      <c r="F70" s="4"/>
      <c r="G70" s="4"/>
      <c r="H70" s="4"/>
      <c r="I70" s="4">
        <f>SUM(C70:D70)/2</f>
        <v>0</v>
      </c>
      <c r="J70" s="5">
        <v>0</v>
      </c>
    </row>
    <row r="71" spans="1:10" x14ac:dyDescent="0.25">
      <c r="A71" s="4">
        <v>11754</v>
      </c>
      <c r="B71" s="6" t="s">
        <v>56</v>
      </c>
      <c r="C71" s="4">
        <v>0</v>
      </c>
      <c r="D71" s="4">
        <v>0</v>
      </c>
      <c r="E71" s="4"/>
      <c r="F71" s="4"/>
      <c r="G71" s="4"/>
      <c r="H71" s="4"/>
      <c r="I71" s="4">
        <f>SUM(C71:D71)/2</f>
        <v>0</v>
      </c>
      <c r="J71" s="5">
        <v>0</v>
      </c>
    </row>
    <row r="72" spans="1:10" x14ac:dyDescent="0.25">
      <c r="A72" s="4">
        <v>11708</v>
      </c>
      <c r="B72" s="6" t="s">
        <v>12</v>
      </c>
      <c r="C72" s="4">
        <v>0</v>
      </c>
      <c r="D72" s="4">
        <v>0</v>
      </c>
      <c r="E72" s="4"/>
      <c r="F72" s="4"/>
      <c r="G72" s="4"/>
      <c r="H72" s="4"/>
      <c r="I72" s="4">
        <f>SUM(C72:D72)/2</f>
        <v>0</v>
      </c>
      <c r="J72" s="5">
        <v>0</v>
      </c>
    </row>
    <row r="73" spans="1:10" x14ac:dyDescent="0.25">
      <c r="A73" s="4">
        <v>11731</v>
      </c>
      <c r="B73" s="6" t="s">
        <v>33</v>
      </c>
      <c r="C73" s="4">
        <v>0</v>
      </c>
      <c r="D73" s="4">
        <v>0</v>
      </c>
      <c r="E73" s="4"/>
      <c r="F73" s="4"/>
      <c r="G73" s="4"/>
      <c r="H73" s="4"/>
      <c r="I73" s="4">
        <f>SUM(C73:D73)/2</f>
        <v>0</v>
      </c>
      <c r="J73" s="5">
        <v>0</v>
      </c>
    </row>
    <row r="74" spans="1:10" x14ac:dyDescent="0.25">
      <c r="A74" s="4">
        <v>11762</v>
      </c>
      <c r="B74" s="6" t="s">
        <v>64</v>
      </c>
      <c r="C74" s="4">
        <v>0</v>
      </c>
      <c r="D74" s="4">
        <v>0</v>
      </c>
      <c r="E74" s="4"/>
      <c r="F74" s="4"/>
      <c r="G74" s="4"/>
      <c r="H74" s="4"/>
      <c r="I74" s="4">
        <f>SUM(C74:D74)/2</f>
        <v>0</v>
      </c>
      <c r="J74" s="5">
        <v>0</v>
      </c>
    </row>
    <row r="75" spans="1:10" x14ac:dyDescent="0.25">
      <c r="A75" s="4">
        <v>11755</v>
      </c>
      <c r="B75" s="6" t="s">
        <v>57</v>
      </c>
      <c r="C75" s="4">
        <v>0</v>
      </c>
      <c r="D75" s="4">
        <v>0</v>
      </c>
      <c r="E75" s="4"/>
      <c r="F75" s="4"/>
      <c r="G75" s="4"/>
      <c r="H75" s="4"/>
      <c r="I75" s="4">
        <f>SUM(C75:D75)/2</f>
        <v>0</v>
      </c>
      <c r="J75" s="5">
        <v>0</v>
      </c>
    </row>
    <row r="76" spans="1:10" x14ac:dyDescent="0.25">
      <c r="A76" s="4">
        <v>11701</v>
      </c>
      <c r="B76" s="6" t="s">
        <v>5</v>
      </c>
      <c r="C76" s="4">
        <v>0</v>
      </c>
      <c r="D76" s="4">
        <v>0</v>
      </c>
      <c r="E76" s="4"/>
      <c r="F76" s="4"/>
      <c r="G76" s="4"/>
      <c r="H76" s="4"/>
      <c r="I76" s="4">
        <v>0</v>
      </c>
      <c r="J76" s="4">
        <v>0</v>
      </c>
    </row>
    <row r="77" spans="1:10" x14ac:dyDescent="0.25">
      <c r="A77" s="4">
        <v>11765</v>
      </c>
      <c r="B77" s="6" t="s">
        <v>67</v>
      </c>
      <c r="C77" s="4">
        <v>0</v>
      </c>
      <c r="D77" s="4">
        <v>0</v>
      </c>
      <c r="E77" s="4"/>
      <c r="F77" s="4"/>
      <c r="G77" s="4"/>
      <c r="H77" s="4"/>
      <c r="I77" s="4">
        <f>SUM(C77:D77)/2</f>
        <v>0</v>
      </c>
      <c r="J77" s="5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Dangi</dc:creator>
  <cp:lastModifiedBy>Paras Dangi</cp:lastModifiedBy>
  <dcterms:created xsi:type="dcterms:W3CDTF">2025-05-09T05:12:00Z</dcterms:created>
  <dcterms:modified xsi:type="dcterms:W3CDTF">2025-05-31T13:41:26Z</dcterms:modified>
</cp:coreProperties>
</file>